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cotsconnect-my.sharepoint.com/personal/euan_wakefield_gov_scot/Documents/R/RESAS-Agricultural-Statistics-Hub/Data/"/>
    </mc:Choice>
  </mc:AlternateContent>
  <xr:revisionPtr revIDLastSave="0" documentId="8_{DAA2D6EA-3899-46E5-9E73-20FF769FB463}" xr6:coauthVersionLast="47" xr6:coauthVersionMax="47" xr10:uidLastSave="{00000000-0000-0000-0000-000000000000}"/>
  <bookViews>
    <workbookView xWindow="-28920" yWindow="-105" windowWidth="29040" windowHeight="15720" tabRatio="912" firstSheet="6" activeTab="14" xr2:uid="{00000000-000D-0000-FFFF-FFFF00000000}"/>
  </bookViews>
  <sheets>
    <sheet name="Cover"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28" r:id="rId12"/>
    <sheet name="Table_10" sheetId="12" r:id="rId13"/>
    <sheet name="Table_11" sheetId="13" r:id="rId14"/>
    <sheet name="Table_12" sheetId="14" r:id="rId15"/>
    <sheet name="Table_13" sheetId="15" r:id="rId16"/>
    <sheet name="Table_14" sheetId="16" r:id="rId17"/>
    <sheet name="Table_15" sheetId="17" r:id="rId18"/>
    <sheet name="Table_16" sheetId="18" r:id="rId19"/>
    <sheet name="Table_17" sheetId="19" r:id="rId20"/>
    <sheet name="Table_18" sheetId="20" r:id="rId21"/>
    <sheet name="Table_19" sheetId="21" r:id="rId22"/>
    <sheet name="Table_20" sheetId="22" r:id="rId23"/>
    <sheet name="Table_21" sheetId="23" r:id="rId24"/>
    <sheet name="Table_22" sheetId="24" r:id="rId25"/>
    <sheet name="Table_23" sheetId="25" r:id="rId26"/>
    <sheet name="Table_24" sheetId="26" r:id="rId27"/>
    <sheet name="Table_25" sheetId="27" r:id="rId28"/>
    <sheet name="Table_26" sheetId="29" r:id="rId29"/>
    <sheet name="Table_27" sheetId="30" r:id="rId30"/>
    <sheet name="Table_28"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1" l="1"/>
  <c r="A4" i="30"/>
  <c r="A4" i="29"/>
  <c r="A4" i="7"/>
  <c r="A4" i="28"/>
  <c r="A4" i="27"/>
  <c r="A4" i="26"/>
  <c r="A4" i="25"/>
  <c r="A4" i="24"/>
  <c r="A4" i="23"/>
  <c r="A4" i="22"/>
  <c r="A4" i="21"/>
  <c r="A4" i="20"/>
  <c r="A4" i="19"/>
  <c r="A4" i="18"/>
  <c r="A4" i="17"/>
  <c r="A4" i="16"/>
  <c r="A4" i="15"/>
  <c r="A4" i="14"/>
  <c r="A4" i="13"/>
  <c r="A4" i="12"/>
  <c r="A4" i="11"/>
  <c r="A4" i="10"/>
  <c r="A4" i="9"/>
  <c r="A4" i="8"/>
  <c r="A4" i="6"/>
  <c r="A4" i="5"/>
  <c r="A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tc={4A6AB9E5-5746-4A9E-B760-7D38053DC52C}</author>
    <author>tc={14ADF586-F508-4940-9C5F-53D87FE2FDB0}</author>
  </authors>
  <commentList>
    <comment ref="I18" authorId="0" shapeId="0" xr:uid="{4A6AB9E5-5746-4A9E-B760-7D38053DC52C}">
      <text>
        <t xml:space="preserve">[Threaded comment]
Your version of Excel allows you to read this threaded comment; however, any edits to it will get removed if the file is opened in a newer version of Excel. Learn more: https://go.microsoft.com/fwlink/?linkid=870924
Comment:
    Can a cell with fewer holdings be suppressed instead? E.g. 6 holdings in orkney
Reply:
    Table 16 equivalent needs to be suppressed for SE Lothian, not sure if we wanted to suppress num holdings too </t>
      </text>
    </comment>
    <comment ref="D29" authorId="1" shapeId="0" xr:uid="{14ADF586-F508-4940-9C5F-53D87FE2FDB0}">
      <text>
        <t>[Threaded comment]
Your version of Excel allows you to read this threaded comment; however, any edits to it will get removed if the file is opened in a newer version of Excel. Learn more: https://go.microsoft.com/fwlink/?linkid=870924
Comment:
    Needs reviewed after combining woodland and other land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tc={070A6ECD-2243-4F8F-B36A-EAF3869DB326}</author>
  </authors>
  <commentList>
    <comment ref="K14" authorId="0" shapeId="0" xr:uid="{070A6ECD-2243-4F8F-B36A-EAF3869DB326}">
      <text>
        <t>[Threaded comment]
Your version of Excel allows you to read this threaded comment; however, any edits to it will get removed if the file is opened in a newer version of Excel. Learn more: https://go.microsoft.com/fwlink/?linkid=870924
Comment:
    Unclassified instead of this</t>
      </text>
    </comment>
  </commentList>
</comments>
</file>

<file path=xl/sharedStrings.xml><?xml version="1.0" encoding="utf-8"?>
<sst xmlns="http://schemas.openxmlformats.org/spreadsheetml/2006/main" count="1590" uniqueCount="638">
  <si>
    <t>Scottish Agricultural Census: June 2026 Results</t>
  </si>
  <si>
    <t>An Accredited Official Statistics Publication for Scotland</t>
  </si>
  <si>
    <t/>
  </si>
  <si>
    <t>Information</t>
  </si>
  <si>
    <t>Data in this workbook relates to the 'June Agricultural Census: June 2026' statistical release.</t>
  </si>
  <si>
    <t>This workbook contains data from the Scottish Agricultural Census: June 2026 Results.  Final results from the 2026 June Agricultural Census on land use, crop areas, livestock and the number of people working on agricultural holdings.</t>
  </si>
  <si>
    <t>Some tables refer to notes. When notes are mentioned the note marker is presented in square brackets. The note text can be found in the Notes worksheet.</t>
  </si>
  <si>
    <t>Full details of the survey methodology are available from the Methodology and Quality Assurance Report.</t>
  </si>
  <si>
    <t>Useful links</t>
  </si>
  <si>
    <t>Results from the Scottish Agricultural Census: June 2026</t>
  </si>
  <si>
    <t>Agricultural land use in England at 1 June 2026 GOV.UK</t>
  </si>
  <si>
    <t>Survey of agriculture and horticulture Llywodreath Cymru Welsh Government</t>
  </si>
  <si>
    <t>Contact</t>
  </si>
  <si>
    <t>agric.stats@gov.scot</t>
  </si>
  <si>
    <t>Date of Publication</t>
  </si>
  <si>
    <t>8 October 2026</t>
  </si>
  <si>
    <t>Last updated</t>
  </si>
  <si>
    <t>Glossary</t>
  </si>
  <si>
    <r>
      <rPr>
        <b/>
        <sz val="12"/>
        <color rgb="FF000000"/>
        <rFont val="Arial"/>
        <family val="2"/>
      </rPr>
      <t>Agricultural holdings</t>
    </r>
    <r>
      <rPr>
        <sz val="12"/>
        <color rgb="FF000000"/>
        <rFont val="Arial"/>
        <family val="2"/>
      </rPr>
      <t>: land and buildings used for horticulture, livestock, grazing, and various other uses.</t>
    </r>
  </si>
  <si>
    <r>
      <rPr>
        <b/>
        <sz val="12"/>
        <color rgb="FF000000"/>
        <rFont val="Arial"/>
        <family val="2"/>
      </rPr>
      <t>Area in sole occupation</t>
    </r>
    <r>
      <rPr>
        <sz val="12"/>
        <color rgb="FF000000"/>
        <rFont val="Arial"/>
        <family val="2"/>
      </rPr>
      <t>: area of land for where there are sole occupiers of the land they farm, whether as owner-occupiers or tenants.</t>
    </r>
  </si>
  <si>
    <r>
      <rPr>
        <b/>
        <sz val="12"/>
        <color rgb="FF000000"/>
        <rFont val="Arial"/>
        <family val="2"/>
      </rPr>
      <t>Barley</t>
    </r>
    <r>
      <rPr>
        <sz val="12"/>
        <color rgb="FF000000"/>
        <rFont val="Arial"/>
        <family val="2"/>
      </rPr>
      <t>: spring and winter barley are sown in Scotland. Most of the barley in Scotland is the spring variety. Spring barley is sown around March. Winter barley is sown in the autumn.</t>
    </r>
  </si>
  <si>
    <r>
      <rPr>
        <b/>
        <sz val="12"/>
        <color rgb="FF000000"/>
        <rFont val="Arial"/>
        <family val="2"/>
      </rPr>
      <t>Breeding herd</t>
    </r>
    <r>
      <rPr>
        <sz val="12"/>
        <color rgb="FF000000"/>
        <rFont val="Arial"/>
        <family val="2"/>
      </rPr>
      <t>: animals aged two years or older that have calved at least once, though not necessarily in the reporting year.</t>
    </r>
  </si>
  <si>
    <r>
      <rPr>
        <b/>
        <sz val="12"/>
        <color rgb="FF000000"/>
        <rFont val="Arial"/>
        <family val="2"/>
      </rPr>
      <t>Gilt</t>
    </r>
    <r>
      <rPr>
        <sz val="12"/>
        <color rgb="FF000000"/>
        <rFont val="Arial"/>
        <family val="2"/>
      </rPr>
      <t>: a female pig that has not yet had a litter of piglets.</t>
    </r>
  </si>
  <si>
    <r>
      <rPr>
        <b/>
        <sz val="12"/>
        <color rgb="FF000000"/>
        <rFont val="Arial"/>
        <family val="2"/>
      </rPr>
      <t>Hectares (ha)</t>
    </r>
    <r>
      <rPr>
        <sz val="12"/>
        <color rgb="FF000000"/>
        <rFont val="Arial"/>
        <family val="2"/>
      </rPr>
      <t>: the land measurement used in agriculture. One hectare, or 10,000 square metres, is roughly the full size of a rugby pitch.</t>
    </r>
  </si>
  <si>
    <r>
      <rPr>
        <b/>
        <sz val="12"/>
        <color rgb="FF000000"/>
        <rFont val="Arial"/>
        <family val="2"/>
      </rPr>
      <t>Human consumption</t>
    </r>
    <r>
      <rPr>
        <sz val="12"/>
        <color rgb="FF000000"/>
        <rFont val="Arial"/>
        <family val="2"/>
      </rPr>
      <t>: vegetable crops for consumption by humans.</t>
    </r>
  </si>
  <si>
    <r>
      <rPr>
        <b/>
        <sz val="12"/>
        <color rgb="FF000000"/>
        <rFont val="Arial"/>
        <family val="2"/>
      </rPr>
      <t>Legal responsibility</t>
    </r>
    <r>
      <rPr>
        <sz val="12"/>
        <color rgb="FF000000"/>
        <rFont val="Arial"/>
        <family val="2"/>
      </rPr>
      <t>: the person(s) or institution with the power of the decision-making, regarding the normal daily financial and production routines of the business.</t>
    </r>
  </si>
  <si>
    <r>
      <rPr>
        <b/>
        <sz val="12"/>
        <color rgb="FF000000"/>
        <rFont val="Arial"/>
        <family val="2"/>
      </rPr>
      <t>Liveweight pigs</t>
    </r>
    <r>
      <rPr>
        <sz val="12"/>
        <color rgb="FF000000"/>
        <rFont val="Arial"/>
        <family val="2"/>
      </rPr>
      <t>: the length and girth of a pig is used to calculate the liveweight of a pig.</t>
    </r>
  </si>
  <si>
    <r>
      <rPr>
        <b/>
        <sz val="12"/>
        <color rgb="FF000000"/>
        <rFont val="Arial"/>
        <family val="2"/>
      </rPr>
      <t>Oats</t>
    </r>
    <r>
      <rPr>
        <sz val="12"/>
        <color rgb="FF000000"/>
        <rFont val="Arial"/>
        <family val="2"/>
      </rPr>
      <t>: majority of oats grown in Scotland are sown in the spring.</t>
    </r>
  </si>
  <si>
    <r>
      <rPr>
        <b/>
        <sz val="12"/>
        <color rgb="FF000000"/>
        <rFont val="Arial"/>
        <family val="2"/>
      </rPr>
      <t>Peatland</t>
    </r>
    <r>
      <rPr>
        <sz val="12"/>
        <color rgb="FF000000"/>
        <rFont val="Arial"/>
        <family val="2"/>
      </rPr>
      <t xml:space="preserve">: the June Agricultural Census 2026 peatland module questions considered peat of any depth and surface cover. Degraded peatland was drained and a lower water table; may or may not have areas of bare peat. </t>
    </r>
  </si>
  <si>
    <r>
      <rPr>
        <b/>
        <sz val="12"/>
        <color rgb="FF000000"/>
        <rFont val="Arial"/>
        <family val="2"/>
      </rPr>
      <t>Person working days</t>
    </r>
    <r>
      <rPr>
        <sz val="12"/>
        <color rgb="FF000000"/>
        <rFont val="Arial"/>
        <family val="2"/>
      </rPr>
      <t>: the number of workers multiplied by number of days they have worked. This provides an estimate of the number of working days workers have contributed to agricultural tasks.</t>
    </r>
  </si>
  <si>
    <r>
      <rPr>
        <b/>
        <sz val="12"/>
        <color rgb="FF000000"/>
        <rFont val="Arial"/>
        <family val="2"/>
      </rPr>
      <t>Seed potatoes</t>
    </r>
    <r>
      <rPr>
        <sz val="12"/>
        <color rgb="FF000000"/>
        <rFont val="Arial"/>
        <family val="2"/>
      </rPr>
      <t>: specifically grown for planting for potato cultivation.</t>
    </r>
  </si>
  <si>
    <r>
      <rPr>
        <b/>
        <sz val="12"/>
        <color rgb="FF000000"/>
        <rFont val="Arial"/>
        <family val="2"/>
      </rPr>
      <t>Sow</t>
    </r>
    <r>
      <rPr>
        <sz val="12"/>
        <color rgb="FF000000"/>
        <rFont val="Arial"/>
        <family val="2"/>
      </rPr>
      <t>: an adult female pig that has had one or more litters of piglets.</t>
    </r>
  </si>
  <si>
    <r>
      <rPr>
        <b/>
        <sz val="12"/>
        <color rgb="FF000000"/>
        <rFont val="Arial"/>
        <family val="2"/>
      </rPr>
      <t>Stockfeed</t>
    </r>
    <r>
      <rPr>
        <sz val="12"/>
        <color rgb="FF000000"/>
        <rFont val="Arial"/>
        <family val="2"/>
      </rPr>
      <t>: food or fodder for livestock.</t>
    </r>
  </si>
  <si>
    <r>
      <rPr>
        <b/>
        <sz val="12"/>
        <color rgb="FF000000"/>
        <rFont val="Arial"/>
        <family val="2"/>
      </rPr>
      <t>Total mixed ration</t>
    </r>
    <r>
      <rPr>
        <sz val="12"/>
        <color rgb="FF000000"/>
        <rFont val="Arial"/>
        <family val="2"/>
      </rPr>
      <t>: a feeding method for cattle in which all feed ingredients are mixed into a uniform ration formulated to meet their nutritional requirements.</t>
    </r>
  </si>
  <si>
    <r>
      <rPr>
        <b/>
        <sz val="12"/>
        <color rgb="FF000000"/>
        <rFont val="Arial"/>
        <family val="2"/>
      </rPr>
      <t>Ware potatoes</t>
    </r>
    <r>
      <rPr>
        <sz val="12"/>
        <color rgb="FF000000"/>
        <rFont val="Arial"/>
        <family val="2"/>
      </rPr>
      <t>: grown primarily for human consumption.</t>
    </r>
  </si>
  <si>
    <r>
      <rPr>
        <b/>
        <sz val="12"/>
        <color rgb="FF000000"/>
        <rFont val="Arial"/>
        <family val="2"/>
      </rPr>
      <t>Wheat</t>
    </r>
    <r>
      <rPr>
        <sz val="12"/>
        <color rgb="FF000000"/>
        <rFont val="Arial"/>
        <family val="2"/>
      </rPr>
      <t>: Scottish wheat is mainly winter sown soft wheats suitable for milling. The Scottish climate does not suit hard wheat varieties.</t>
    </r>
  </si>
  <si>
    <t>Table of contents</t>
  </si>
  <si>
    <t>This worksheet contains one table.</t>
  </si>
  <si>
    <t>Table number</t>
  </si>
  <si>
    <t>Table name</t>
  </si>
  <si>
    <t>Notes</t>
  </si>
  <si>
    <t>Notes used in this workbook.</t>
  </si>
  <si>
    <t>Table 1</t>
  </si>
  <si>
    <t>Agricultural area by crop and land use, 2016 to 2026</t>
  </si>
  <si>
    <t>Table 2</t>
  </si>
  <si>
    <t>Area of vegetables for human consumption, bulbs and soft fruit grown, 2016 to 2026</t>
  </si>
  <si>
    <t>Table 3</t>
  </si>
  <si>
    <t>Number of cattle, 2016 to 2026</t>
  </si>
  <si>
    <t>Table 4</t>
  </si>
  <si>
    <t>Number of sheep, 2016 to 2026</t>
  </si>
  <si>
    <t>Table 5</t>
  </si>
  <si>
    <t>Number of pigs, 2016 to 2026</t>
  </si>
  <si>
    <t>Table 6</t>
  </si>
  <si>
    <t>Number of poultry, 2016 to 2026</t>
  </si>
  <si>
    <t>Table 7</t>
  </si>
  <si>
    <t>Number of other livestock, 2016 to 2026</t>
  </si>
  <si>
    <t>Table 8</t>
  </si>
  <si>
    <t>Number of occupiers and employees, 2016 to 2026</t>
  </si>
  <si>
    <t>Table 9</t>
  </si>
  <si>
    <t>Number of occupiers by sex, June 2026</t>
  </si>
  <si>
    <t>Table 10</t>
  </si>
  <si>
    <t>Table 11</t>
  </si>
  <si>
    <t>Table 12</t>
  </si>
  <si>
    <t>Area of owned or rented land, 2016 to 2026</t>
  </si>
  <si>
    <t>Table 13</t>
  </si>
  <si>
    <t>Number, area and Standard Output of holdings by main farm type, June 2026</t>
  </si>
  <si>
    <t>Table 14</t>
  </si>
  <si>
    <t>Agricultural area by Less Favoured Area (LFA) status, June 2026</t>
  </si>
  <si>
    <t>Table 15</t>
  </si>
  <si>
    <t>Table 16</t>
  </si>
  <si>
    <t>Table 17</t>
  </si>
  <si>
    <t>Table 18</t>
  </si>
  <si>
    <t>Table 19</t>
  </si>
  <si>
    <t>Table 20</t>
  </si>
  <si>
    <t>Table 21</t>
  </si>
  <si>
    <t>Table 22</t>
  </si>
  <si>
    <t>Table 23</t>
  </si>
  <si>
    <t>Number of holdings by area size band and farm type, June 2026</t>
  </si>
  <si>
    <t>Table 24</t>
  </si>
  <si>
    <t>Agricultural area of holdings by area size band and farm type, June 2026</t>
  </si>
  <si>
    <t>Table 25</t>
  </si>
  <si>
    <t>Table 26</t>
  </si>
  <si>
    <t>Table 27</t>
  </si>
  <si>
    <t>Number of holdings with female dairy cows aged 2+ with offspring by herd size, 2016 to 2026</t>
  </si>
  <si>
    <t>Table 28</t>
  </si>
  <si>
    <t>Number of holdings with female beef cows aged 2+ with offspring by herd size, 2016 to 2026</t>
  </si>
  <si>
    <t>Note number</t>
  </si>
  <si>
    <t>Note text</t>
  </si>
  <si>
    <t>Note 1</t>
  </si>
  <si>
    <t>Comparisons are made as a percentage change between 2026 to the 5 year average calculated from 2021 to 2025.</t>
  </si>
  <si>
    <t>Note 2</t>
  </si>
  <si>
    <t>From 2009, data on land use has been obtained from the Single Application Form (SAF) for holdings claiming Basic Payment Scheme entitlements (previously).</t>
  </si>
  <si>
    <t>Note 3</t>
  </si>
  <si>
    <t>Mixed grain is no longer collected as part of the core dataset and was estimated for 2022, 2023, 2024, 2025 and 2026.</t>
  </si>
  <si>
    <t>Note 4</t>
  </si>
  <si>
    <t>In order to prevent disclosure of individual holding data, for 2016, 2017 and 2018 a small area of linseed was added to the figure for spring oilseed rape.</t>
  </si>
  <si>
    <t>Note 5</t>
  </si>
  <si>
    <t>Lupins included in other crops in 2019 and 2020 to prevent disclosure.</t>
  </si>
  <si>
    <t>Note 6</t>
  </si>
  <si>
    <t>Woodland and other land have been grouped as these areas are no longer disaggregated in Basic Payment Scheme claim data.</t>
  </si>
  <si>
    <t>Note 7</t>
  </si>
  <si>
    <t>2023, 2024, 2025 and 2026 Pig data for 'under 50kg liveweight' is a combined group for: Fattening pigs (over 29 kg), Weaners (29 kg or less and Piglets/suckling pigs. Data for 2016 to 2021 listed weights separately as '20kg and under 50kg liveweight' and 'Under 20kg liveweights' these have been combined in this table as 'under 50kg liveweight'.</t>
  </si>
  <si>
    <t>Note 8</t>
  </si>
  <si>
    <t>Changes to poultry data collection and non-response estimation from 2023 onwards resulted in a break in the time series (see the Methodology and Quality Assurance Report).</t>
  </si>
  <si>
    <t>Note 9</t>
  </si>
  <si>
    <t>Horse data is a combination of horses for agricultural or horticultural use, and non-agricultural horses.</t>
  </si>
  <si>
    <t>Note 10</t>
  </si>
  <si>
    <t>Migrant workers are workers that are not UK nationals. Improved data available from 2017. Impact of changes to Census due to COVID-19 resulted in insufficient data returned to produce estimate for 2020. For more information, please see accompanying methodology.</t>
  </si>
  <si>
    <t>Note 11</t>
  </si>
  <si>
    <t>Note 12</t>
  </si>
  <si>
    <t>Total area in sole occupation does not match total sole right agricultural area in Table 1. This is because land use data is sourced from the Single Application Form while land tenure data is administered via census returns.</t>
  </si>
  <si>
    <t>Note 13</t>
  </si>
  <si>
    <t>Standard Outputs (SOs) represent the estimated farm-gate worth (£s) of crops and animals without taking account of the costs incurred in production.</t>
  </si>
  <si>
    <t>Note 14</t>
  </si>
  <si>
    <t>The total amount generated (in £) using the individual SOs on each farm type listed,  The individual SO coefficients for crops and livestock are listed here:  www.gov.scot/Topics/Statistics/Browse/Agriculture-Fisheries/Publications/SOCoeffs.</t>
  </si>
  <si>
    <t>Note 15</t>
  </si>
  <si>
    <t>A holding is classified as LFA if 50% or more of its land is assessed as being disadvantaged or severely disadvantaged for subsidy purposes.</t>
  </si>
  <si>
    <t>Note 16</t>
  </si>
  <si>
    <t>Includes lupins and maize.</t>
  </si>
  <si>
    <t>Note 17</t>
  </si>
  <si>
    <t>Utilised agricultural area (UAA) includes rough grazing land but excludes common grazing land, woodland and other land such as yards and derelict land etc.</t>
  </si>
  <si>
    <t>Note 18</t>
  </si>
  <si>
    <t>Inclusion of common grazing land brings total agricultural area in Scotland to a higher level than that published in the main June Agricultural Census publication.</t>
  </si>
  <si>
    <t>Note 19</t>
  </si>
  <si>
    <t>Sows in pig, gilts in pig and other sows for breeding.</t>
  </si>
  <si>
    <t>Note 20</t>
  </si>
  <si>
    <t>Hens laying eggs to hatch layer and table chicks and cocks.</t>
  </si>
  <si>
    <t>Note 21</t>
  </si>
  <si>
    <t>Except for totals, holdings with employees in more than one category are counted more than once.</t>
  </si>
  <si>
    <t>Note 22</t>
  </si>
  <si>
    <t>Some cells in the notes column of this table are blank. This means there is no data for this row.</t>
  </si>
  <si>
    <t>Note 23</t>
  </si>
  <si>
    <t>Some shorthand is used in this table, [FT] = Full-time, [PT] = Part-time, [x] = not available, [c] = data suppressed to prevent disclosure of individual holdings, [z] = not applicable</t>
  </si>
  <si>
    <t>Note 24</t>
  </si>
  <si>
    <t>Note 25</t>
  </si>
  <si>
    <t>Average herd size refers to the number of cattle divided by the number of holdings for each cattle type.</t>
  </si>
  <si>
    <t>Note 26</t>
  </si>
  <si>
    <t>Other female beef/dairy cattle refers to female beef/dairy cattle aged 2+ without offspring, female beef/dairy cattle aged 1-2, and female beef/dairy calves. Male cattle refers to all male cattle including calves.</t>
  </si>
  <si>
    <t>Table 1: Agricultural area by crop and land use, 2016 to 2026 [note 1, 2, 3, 4, 5, 6, 22, 23]</t>
  </si>
  <si>
    <t>Some cells refer to notes which can be found on the Notes Worksheet.</t>
  </si>
  <si>
    <t>Source: JAC 2026</t>
  </si>
  <si>
    <t>Crop/land use</t>
  </si>
  <si>
    <t>2016 Area (Hectares)</t>
  </si>
  <si>
    <t>2017 Area (Hectares)</t>
  </si>
  <si>
    <t>2018 Area (Hectares)</t>
  </si>
  <si>
    <t>2019 Area (Hectares)</t>
  </si>
  <si>
    <t>2020 Area (Hectares)</t>
  </si>
  <si>
    <t>2021 Area (Hectares)</t>
  </si>
  <si>
    <t>2022 Area (Hectares)</t>
  </si>
  <si>
    <t>2023 Area (Hectares)</t>
  </si>
  <si>
    <t>2024 Area (Hectares)</t>
  </si>
  <si>
    <t>2025 Area (Hectares)</t>
  </si>
  <si>
    <t>2026 Area (Hectares)</t>
  </si>
  <si>
    <t>5 year average 2021 to 2025 (Hectares)</t>
  </si>
  <si>
    <t>% Change 2026 to 5 year average</t>
  </si>
  <si>
    <t>% Change 2026 to 2025</t>
  </si>
  <si>
    <t xml:space="preserve">Notes </t>
  </si>
  <si>
    <t>Wheat</t>
  </si>
  <si>
    <t>Triticale</t>
  </si>
  <si>
    <t>Winter barley</t>
  </si>
  <si>
    <t>Spring barley</t>
  </si>
  <si>
    <t>Barley total</t>
  </si>
  <si>
    <t>Winter oats</t>
  </si>
  <si>
    <t>Spring oats</t>
  </si>
  <si>
    <t>Oats total</t>
  </si>
  <si>
    <t>Rye</t>
  </si>
  <si>
    <t>Mixed grain</t>
  </si>
  <si>
    <t>[note 3] [applies to from 2022 to 2026 Area (Hectares)]</t>
  </si>
  <si>
    <t>Total cereals</t>
  </si>
  <si>
    <t>Winter oilseed rape</t>
  </si>
  <si>
    <t>Spring oilseed rape</t>
  </si>
  <si>
    <t>[note 4]</t>
  </si>
  <si>
    <t>Linseed</t>
  </si>
  <si>
    <t>x</t>
  </si>
  <si>
    <t>Total oilseeds</t>
  </si>
  <si>
    <t>Protein peas</t>
  </si>
  <si>
    <t>Field beans</t>
  </si>
  <si>
    <t>Total combine harvested crops</t>
  </si>
  <si>
    <t>Seed potatoes</t>
  </si>
  <si>
    <t>Ware potatoes</t>
  </si>
  <si>
    <t>Total potatoes</t>
  </si>
  <si>
    <t>Turnips/swedes</t>
  </si>
  <si>
    <t>Kale/cabbage</t>
  </si>
  <si>
    <t>Maize</t>
  </si>
  <si>
    <t>Rape</t>
  </si>
  <si>
    <t>Fodder beet</t>
  </si>
  <si>
    <t>Lupins</t>
  </si>
  <si>
    <t>[note 5]</t>
  </si>
  <si>
    <t>Other crops for stockfeeding</t>
  </si>
  <si>
    <t>Total crops for stockfeeding</t>
  </si>
  <si>
    <t>Vegetables for human consumption</t>
  </si>
  <si>
    <t>Orchard fruit</t>
  </si>
  <si>
    <t>Soft fruit</t>
  </si>
  <si>
    <t>Other crops</t>
  </si>
  <si>
    <t>Fallow land for 5 years or less</t>
  </si>
  <si>
    <t>Fallow land for more than 5 years</t>
  </si>
  <si>
    <t>Total fallow</t>
  </si>
  <si>
    <t>Total crops, fallow, and set-aside</t>
  </si>
  <si>
    <t>Grass under 5 years old</t>
  </si>
  <si>
    <t>Grass 5 years old and over</t>
  </si>
  <si>
    <t>Total grass</t>
  </si>
  <si>
    <t>Total crops and grass</t>
  </si>
  <si>
    <t>Rough grazing</t>
  </si>
  <si>
    <t>Other land (including woodland)</t>
  </si>
  <si>
    <t>Total sole right agricultural area</t>
  </si>
  <si>
    <t>Common grazings</t>
  </si>
  <si>
    <t>Table 2: Area of vegetables for human consumption, bulbs and soft fruit grown, 2016 to 2026 [note 1, 2, 22]</t>
  </si>
  <si>
    <t>Vegetables and fruits for human consumption</t>
  </si>
  <si>
    <t>Peas for canning, freezing or drying</t>
  </si>
  <si>
    <t>Beans for canning, freezing or drying</t>
  </si>
  <si>
    <t>Calabrese</t>
  </si>
  <si>
    <t>Cauliflower</t>
  </si>
  <si>
    <t>Carrots</t>
  </si>
  <si>
    <t>Other vegetables</t>
  </si>
  <si>
    <t>Total vegetables</t>
  </si>
  <si>
    <t>Bulbs, flowers &amp; hardy nursery stock</t>
  </si>
  <si>
    <t>Strawberries grown in the open</t>
  </si>
  <si>
    <t>Raspberries grown in the open</t>
  </si>
  <si>
    <t>Blueberries grown in the open</t>
  </si>
  <si>
    <t>Blackcurrants and other fruit grown in the open</t>
  </si>
  <si>
    <t>Total soft fruit grown in the open</t>
  </si>
  <si>
    <t>Tomatoes grown under cover</t>
  </si>
  <si>
    <t>Strawberries grown under cover</t>
  </si>
  <si>
    <t>Raspberries grown under cover</t>
  </si>
  <si>
    <t>Blueberries grown under cover</t>
  </si>
  <si>
    <t>Other fruit grown under cover</t>
  </si>
  <si>
    <t>Vegetables grown under cover</t>
  </si>
  <si>
    <t>Bedding and pot plants grown under cover</t>
  </si>
  <si>
    <t>Hardy nursery stock grown under cover</t>
  </si>
  <si>
    <t>Unused area grown under cover</t>
  </si>
  <si>
    <t>Total plastic and glass clad structures</t>
  </si>
  <si>
    <t>Strawberries grown in open/under cover</t>
  </si>
  <si>
    <t>Raspberries grown in open/under cover</t>
  </si>
  <si>
    <t>Blackcurrants grown in open/under cover</t>
  </si>
  <si>
    <t>Blueberries grown in open/under cover</t>
  </si>
  <si>
    <t>Tomatoes grown in open/under cover</t>
  </si>
  <si>
    <t>Other fruit grown in open/under cover</t>
  </si>
  <si>
    <t>Total soft fruit</t>
  </si>
  <si>
    <t>Walk in plastic structures (polytunnels)</t>
  </si>
  <si>
    <t>Glass clad structures (glasshouses)</t>
  </si>
  <si>
    <t>Table 3: Number of cattle, 2016 to 2026 [note 1]</t>
  </si>
  <si>
    <t>Cattle by category</t>
  </si>
  <si>
    <t>2016 (Number)</t>
  </si>
  <si>
    <t>2017 (Number)</t>
  </si>
  <si>
    <t>2018 (Number)</t>
  </si>
  <si>
    <t>2019 (Number)</t>
  </si>
  <si>
    <t>2020 (Number)</t>
  </si>
  <si>
    <t>2021 (Number)</t>
  </si>
  <si>
    <t>2022 (Number)</t>
  </si>
  <si>
    <t>2023 (Number)</t>
  </si>
  <si>
    <t>2024 (Number)</t>
  </si>
  <si>
    <t>2025 (Number)</t>
  </si>
  <si>
    <t>2026 (Number)</t>
  </si>
  <si>
    <t>5 year average 2021 to 2025 (Number)</t>
  </si>
  <si>
    <t>Female dairy cattle aged 1-2</t>
  </si>
  <si>
    <t>Female dairy cattle aged 2 and over - with offspring</t>
  </si>
  <si>
    <t>Female dairy cattle aged 2 and over - without offspring</t>
  </si>
  <si>
    <t>Total female dairy cattle</t>
  </si>
  <si>
    <t>Female beef cattle aged 1-2</t>
  </si>
  <si>
    <t>Female beef cattle aged 2 and over - with offspring</t>
  </si>
  <si>
    <t>Female beef cattle aged 2 and over - without offspring</t>
  </si>
  <si>
    <t>Total female beef cattle</t>
  </si>
  <si>
    <t>Male cattle aged 1-2</t>
  </si>
  <si>
    <t>Male cattle aged 2 and over</t>
  </si>
  <si>
    <t>Total male cattle</t>
  </si>
  <si>
    <t>Female dairy cattle under 1</t>
  </si>
  <si>
    <t>Female beef cattle under 1</t>
  </si>
  <si>
    <t>Male cattle under 1</t>
  </si>
  <si>
    <t>Total calves</t>
  </si>
  <si>
    <t>Total cattle</t>
  </si>
  <si>
    <t>Table 4: Number of sheep, 2016 to 2026 [note 1]</t>
  </si>
  <si>
    <t>Sheep by category</t>
  </si>
  <si>
    <t>Ewes used for breeding in previous season</t>
  </si>
  <si>
    <t>Rams to be used for service</t>
  </si>
  <si>
    <t>Other sheep for breeding aged 1 year and over</t>
  </si>
  <si>
    <t>Other sheep not for breeding aged 1 year and over</t>
  </si>
  <si>
    <t>Total other sheep 1 year and over</t>
  </si>
  <si>
    <t>Lambs</t>
  </si>
  <si>
    <t>Total sheep</t>
  </si>
  <si>
    <t>Table 5: Number of pigs, 2016 to 2026 [note 1, 7]</t>
  </si>
  <si>
    <t>Pigs by category</t>
  </si>
  <si>
    <t>Sows in pig</t>
  </si>
  <si>
    <t>Gilts in pig</t>
  </si>
  <si>
    <t>Other sows</t>
  </si>
  <si>
    <t>Total breeding herd</t>
  </si>
  <si>
    <t>Barren sows for fattening</t>
  </si>
  <si>
    <t>Gilts used for breeding (over 50kg)</t>
  </si>
  <si>
    <t>Boars</t>
  </si>
  <si>
    <t>Total sows, gilts and boars</t>
  </si>
  <si>
    <t>80kg liveweight and over</t>
  </si>
  <si>
    <t>50kg and under 80kg liveweight</t>
  </si>
  <si>
    <t>Under 50kg liveweight</t>
  </si>
  <si>
    <t>[note 7] [applies to 2023, 2024, 2025, 2026]</t>
  </si>
  <si>
    <t>Total liveweight pigs</t>
  </si>
  <si>
    <t>Total pigs</t>
  </si>
  <si>
    <t>Table 6: Number of poultry, 2016 to 2026 [note 1, 8, 22]</t>
  </si>
  <si>
    <t>Poultry by category</t>
  </si>
  <si>
    <t>Pullets and hens in the laying flock</t>
  </si>
  <si>
    <t>Pullets being reared for laying</t>
  </si>
  <si>
    <t>Total fowls for producing eggs</t>
  </si>
  <si>
    <t>Breeding hens</t>
  </si>
  <si>
    <t>Cocks</t>
  </si>
  <si>
    <t>Total fowls for breeding</t>
  </si>
  <si>
    <t>Broilers and other table birds</t>
  </si>
  <si>
    <t>Turkeys</t>
  </si>
  <si>
    <t>Other poultry</t>
  </si>
  <si>
    <t>Total poultry</t>
  </si>
  <si>
    <t>Table 7: Number of other livestock, 2016 to 2026 [note 1, 9, 22]</t>
  </si>
  <si>
    <t>Livestock by category</t>
  </si>
  <si>
    <t>Deer</t>
  </si>
  <si>
    <t>Horses</t>
  </si>
  <si>
    <t>[note 9]</t>
  </si>
  <si>
    <t>Donkeys</t>
  </si>
  <si>
    <t>Goats</t>
  </si>
  <si>
    <t>Camelids</t>
  </si>
  <si>
    <t>Beehives</t>
  </si>
  <si>
    <t>Table 8: Number of occupiers and employees, 2016 to 2026 [note 1, 10, 22, 23]</t>
  </si>
  <si>
    <t>Occupiers and employees by category</t>
  </si>
  <si>
    <t>Occupiers - full time</t>
  </si>
  <si>
    <t>Occupiers - half time or more</t>
  </si>
  <si>
    <t>Occupiers - less than half time</t>
  </si>
  <si>
    <t>Total working occupiers</t>
  </si>
  <si>
    <t>Occupiers not working on the holding</t>
  </si>
  <si>
    <t>FT males hired</t>
  </si>
  <si>
    <t>FT males family</t>
  </si>
  <si>
    <t>FT males business partners</t>
  </si>
  <si>
    <t>FT males total</t>
  </si>
  <si>
    <t>FT females hired</t>
  </si>
  <si>
    <t>FT females family</t>
  </si>
  <si>
    <t>FT females business partners</t>
  </si>
  <si>
    <t>FT females total</t>
  </si>
  <si>
    <t>Regular full-time staff total</t>
  </si>
  <si>
    <t>PT males hired</t>
  </si>
  <si>
    <t>PT males family</t>
  </si>
  <si>
    <t>PT males business partners</t>
  </si>
  <si>
    <t>PT males total</t>
  </si>
  <si>
    <t>PT females hired</t>
  </si>
  <si>
    <t>PT females family</t>
  </si>
  <si>
    <t>PT females business partners</t>
  </si>
  <si>
    <t>PT females total</t>
  </si>
  <si>
    <t>Regular part-time staff total</t>
  </si>
  <si>
    <t>Total regular full-time and part-time staff</t>
  </si>
  <si>
    <t>Males casual and seasonal staff</t>
  </si>
  <si>
    <t>Females casual and seasonal staff</t>
  </si>
  <si>
    <t>Total casual and seasonal staff</t>
  </si>
  <si>
    <t>Total agricultural workforce (including occupiers)</t>
  </si>
  <si>
    <t>European migrant labour (person working days)</t>
  </si>
  <si>
    <t>Non-European migrant labour (person working days)</t>
  </si>
  <si>
    <t>Total migrant labour (person working days)</t>
  </si>
  <si>
    <t>Occupier working time</t>
  </si>
  <si>
    <t>Female (Number)</t>
  </si>
  <si>
    <t>Male (Number)</t>
  </si>
  <si>
    <t>Prefer not to say (Number)</t>
  </si>
  <si>
    <t>Total (Number)</t>
  </si>
  <si>
    <t>Occupier(s) full-time (39 hours per week)</t>
  </si>
  <si>
    <t>Occupier(s) part-time: Half-time to less than full-time</t>
  </si>
  <si>
    <t>Occupier(s) part-time: Less than half-time</t>
  </si>
  <si>
    <t>Female Under 25 (Number)</t>
  </si>
  <si>
    <t>Male Under 25 (Number)</t>
  </si>
  <si>
    <t>Female 25 to 34 (Number)</t>
  </si>
  <si>
    <t>Male 25 to 34 (Number)</t>
  </si>
  <si>
    <t>Female 35 to 44 (Number)</t>
  </si>
  <si>
    <t>Male 35 to 44 (Number)</t>
  </si>
  <si>
    <t>Female 45 to 54 (Number)</t>
  </si>
  <si>
    <t>Male 45 to 54 (Number)</t>
  </si>
  <si>
    <t>Female 55 to 64 (Number)</t>
  </si>
  <si>
    <t>Male 55 to 64 (Number)</t>
  </si>
  <si>
    <t>Female Over 64 (Number)</t>
  </si>
  <si>
    <t>Male Over 64 (Number)</t>
  </si>
  <si>
    <t>Female Total (Number)</t>
  </si>
  <si>
    <t>Male Total (Number)</t>
  </si>
  <si>
    <t>Holdings (Number)</t>
  </si>
  <si>
    <t>Unknown</t>
  </si>
  <si>
    <t>One person</t>
  </si>
  <si>
    <t>Two or more related</t>
  </si>
  <si>
    <t>An organisation</t>
  </si>
  <si>
    <t>Total</t>
  </si>
  <si>
    <t>Area owned or rented</t>
  </si>
  <si>
    <t>2016 (Hectares and %)</t>
  </si>
  <si>
    <t>2017 (Hectares and %)</t>
  </si>
  <si>
    <t>2018 (Hectares and %)</t>
  </si>
  <si>
    <t>2019 (Hectares and %)</t>
  </si>
  <si>
    <t>2020 (Hectares and %)</t>
  </si>
  <si>
    <t>2021 (Hectares and %)</t>
  </si>
  <si>
    <t>2022 (Hectares and %)</t>
  </si>
  <si>
    <t>2023 (Hectares and %)</t>
  </si>
  <si>
    <t>2024 (Hectares and %)</t>
  </si>
  <si>
    <t>2025 (Hectares and %)</t>
  </si>
  <si>
    <t>2026 (Hectares and %)</t>
  </si>
  <si>
    <t>5 year average 2021 to 2025 (Hectares and %)</t>
  </si>
  <si>
    <t>Area rented</t>
  </si>
  <si>
    <t>Area owned</t>
  </si>
  <si>
    <t>Total area in sole occupation</t>
  </si>
  <si>
    <t>Percentage of area rented</t>
  </si>
  <si>
    <t>Main farm type</t>
  </si>
  <si>
    <t>Area (Hectares)</t>
  </si>
  <si>
    <t>Total from Standard Outputs (£)</t>
  </si>
  <si>
    <t>Average standard output per holding (£)</t>
  </si>
  <si>
    <t>General cropping</t>
  </si>
  <si>
    <t>General cropping; forage</t>
  </si>
  <si>
    <t>LFA cattle and sheep</t>
  </si>
  <si>
    <t>Mixed holdings</t>
  </si>
  <si>
    <t>Non-LFA cattle and sheep</t>
  </si>
  <si>
    <t>Specialist cereals</t>
  </si>
  <si>
    <t>Specialist dairy</t>
  </si>
  <si>
    <t>Specialist horticulture and permanent crops</t>
  </si>
  <si>
    <t>Specialist pigs</t>
  </si>
  <si>
    <t>Specialist poultry</t>
  </si>
  <si>
    <t>Unclassified</t>
  </si>
  <si>
    <t>All</t>
  </si>
  <si>
    <t>Agricultural land use by category</t>
  </si>
  <si>
    <t>LFA (Hectares)</t>
  </si>
  <si>
    <t>Non-LFA (Hectares)</t>
  </si>
  <si>
    <t>Total (Hectares)</t>
  </si>
  <si>
    <t>Total barley</t>
  </si>
  <si>
    <t>Oats and mixed grain</t>
  </si>
  <si>
    <t>Oilseeds (including linseed)</t>
  </si>
  <si>
    <t>Potatoes</t>
  </si>
  <si>
    <t>Turnips, swedes and beet for stockfeeding</t>
  </si>
  <si>
    <t>[note 16] [Applies to all columns]</t>
  </si>
  <si>
    <t>Orchard and soft fruit</t>
  </si>
  <si>
    <t>Bulbs, flowers &amp; nursery stock</t>
  </si>
  <si>
    <t>Total crops, fallow and grass</t>
  </si>
  <si>
    <t>Sole right utilised agricultural area (excl. common grazings)</t>
  </si>
  <si>
    <t>[note 17] [applies to all columns]</t>
  </si>
  <si>
    <t>Number of holdings</t>
  </si>
  <si>
    <t>Land use by category</t>
  </si>
  <si>
    <t>North West Shetland (Number of holdings)</t>
  </si>
  <si>
    <t>North West Orkney (Number of holdings)</t>
  </si>
  <si>
    <t>North West Na h-Eileanan Siar (Number of holdings)</t>
  </si>
  <si>
    <t>North West Highland (Number of holdings)</t>
  </si>
  <si>
    <t>North East Grampian (Number of holdings)</t>
  </si>
  <si>
    <t>South East Tayside (Number of holdings)</t>
  </si>
  <si>
    <t>South East Fife (Number of holdings)</t>
  </si>
  <si>
    <t>South East Lothian (Number of holdings)</t>
  </si>
  <si>
    <t>South East Scottish Borders (Number of holdings)</t>
  </si>
  <si>
    <t>South West East Central (Number of holdings)</t>
  </si>
  <si>
    <t>South West Argyll &amp; Bute (Number of holdings)</t>
  </si>
  <si>
    <t>South West Clyde Valley (Number of holdings)</t>
  </si>
  <si>
    <t>South West Ayrshire (Number of holdings)</t>
  </si>
  <si>
    <t>South West Dumfries &amp; Galloway (Number of holdings)</t>
  </si>
  <si>
    <t>Scotland total (Number of holdings)</t>
  </si>
  <si>
    <t>Peas and beans for combining</t>
  </si>
  <si>
    <t>Stockfeeding crops</t>
  </si>
  <si>
    <t>[note 16] [applies to all regions]</t>
  </si>
  <si>
    <t>[note 22] [applies to cell 2, 3]</t>
  </si>
  <si>
    <t>Total grass and rough grazing</t>
  </si>
  <si>
    <t>z</t>
  </si>
  <si>
    <t>North West Shetland (Hectares)</t>
  </si>
  <si>
    <t>North West Orkney (Hectares)</t>
  </si>
  <si>
    <t>North West Na h-Eileanan Siar (Hectares)</t>
  </si>
  <si>
    <t>North West Highland (Hectares)</t>
  </si>
  <si>
    <t>North East Grampian (Hectares)</t>
  </si>
  <si>
    <t>South East Tayside (Hectares)</t>
  </si>
  <si>
    <t>South East Fife (Hectares)</t>
  </si>
  <si>
    <t>South East Lothian (Hectares)</t>
  </si>
  <si>
    <t>South East Scottish Borders (Hectares)</t>
  </si>
  <si>
    <t>South West East Central (Hectares)</t>
  </si>
  <si>
    <t>South West Argyll &amp; Bute (Hectares)</t>
  </si>
  <si>
    <t>South West Clyde Valley (Hectares)</t>
  </si>
  <si>
    <t>South West Ayrshire (Hectares)</t>
  </si>
  <si>
    <t>South West Dumfries &amp; Galloway (Hectares)</t>
  </si>
  <si>
    <t>Scotland total (Hectares)</t>
  </si>
  <si>
    <t>[note 17] [applies to all regions]</t>
  </si>
  <si>
    <t>Total agricultural area</t>
  </si>
  <si>
    <t>[note 18]</t>
  </si>
  <si>
    <t>[note 22] [applies to cell 2, 5]</t>
  </si>
  <si>
    <t>[note 22] [applies to cell 2, 4]</t>
  </si>
  <si>
    <t>Female pigs breeding herd</t>
  </si>
  <si>
    <t>[note 19] [applies to all regions], [note 22] [applies to cell 3, 15]</t>
  </si>
  <si>
    <t>All other non-breeding pigs</t>
  </si>
  <si>
    <t>[note 22] [applies to cell 3, 11]</t>
  </si>
  <si>
    <t>Fowls for producing eggs</t>
  </si>
  <si>
    <t>Fowls for breeding</t>
  </si>
  <si>
    <t>[note 20] [applies to all regions], [note 22] [applies to cell 2, 10]</t>
  </si>
  <si>
    <t>Broilers, other table fowls and other poultry</t>
  </si>
  <si>
    <t>[note 22] [applies to cell 2, 10]</t>
  </si>
  <si>
    <t>Goats and kids</t>
  </si>
  <si>
    <t>[note 22] [applies to cell 3, 4, 9, 13, 14]</t>
  </si>
  <si>
    <t>Total agricultural holdings</t>
  </si>
  <si>
    <t>North West Shetland (Number)</t>
  </si>
  <si>
    <t>North West Orkney (Number)</t>
  </si>
  <si>
    <t>North West Na h-Eileanan Siar (Number)</t>
  </si>
  <si>
    <t>North West Highland (Number)</t>
  </si>
  <si>
    <t>North East Grampian (Number)</t>
  </si>
  <si>
    <t>South East Tayside (Number)</t>
  </si>
  <si>
    <t>South East Fife (Number)</t>
  </si>
  <si>
    <t>South East Lothian (Number)</t>
  </si>
  <si>
    <t>South East Scottish Borders (Number)</t>
  </si>
  <si>
    <t>South West East Central (Number)</t>
  </si>
  <si>
    <t>South West Argyll &amp; Bute (Number)</t>
  </si>
  <si>
    <t>South West Clyde Valley (Number)</t>
  </si>
  <si>
    <t>South West Ayrshire (Number)</t>
  </si>
  <si>
    <t>South West Dumfries &amp; Galloway (Number)</t>
  </si>
  <si>
    <t>Scotland total (Number)</t>
  </si>
  <si>
    <t>[note 22] [applies to cell 2, 4, 5]</t>
  </si>
  <si>
    <t>[note 19] [applies to all regions], [note 22] [applies to cell 2, 3, 15]</t>
  </si>
  <si>
    <t>[note 22] [applies to cell 3, 11, 15]</t>
  </si>
  <si>
    <t>[note 22] [applies to cell 2, 11]</t>
  </si>
  <si>
    <t>Total employees (excluding occupiers)</t>
  </si>
  <si>
    <t>Total workforce (including occupiers)</t>
  </si>
  <si>
    <t>Scotland Total (Number of holdings)</t>
  </si>
  <si>
    <t>Scotland Total (Hectares)</t>
  </si>
  <si>
    <t>0 to &lt;2 hectares (Number of holdings)</t>
  </si>
  <si>
    <t>2 to &lt;5 hectares (Number of holdings)</t>
  </si>
  <si>
    <t>5 to &lt;10 hectares (Number of holdings)</t>
  </si>
  <si>
    <t>10 to &lt;20 hectares (Number of holdings)</t>
  </si>
  <si>
    <t>20 to &lt;50 hectares (Number of holdings)</t>
  </si>
  <si>
    <t>50 to &lt;100 hectares (Number of holdings)</t>
  </si>
  <si>
    <t>100 to &lt;200 hectares (Number of holdings)</t>
  </si>
  <si>
    <t>200 hectares and over (Number of holdings)</t>
  </si>
  <si>
    <t>Total (Number of holdings)</t>
  </si>
  <si>
    <t>0 to &lt;2 hectares (Hectares)</t>
  </si>
  <si>
    <t>2 to &lt;5 hectares (Hectares)</t>
  </si>
  <si>
    <t>5 to &lt;10 hectares (Hectares)</t>
  </si>
  <si>
    <t>10 to &lt;20 hectares (Hectares)</t>
  </si>
  <si>
    <t>20 to &lt;50 hectares (Hectares)</t>
  </si>
  <si>
    <t>50 to &lt;100 hectares (Hectares)</t>
  </si>
  <si>
    <t>100 to &lt;200 hectares (Hectares)</t>
  </si>
  <si>
    <t>200 hectares and over (Hectares)</t>
  </si>
  <si>
    <t>Specialist Horticulture and permanent crops</t>
  </si>
  <si>
    <t>Sex</t>
  </si>
  <si>
    <t>Number of occupiers</t>
  </si>
  <si>
    <t>Female</t>
  </si>
  <si>
    <t>Male</t>
  </si>
  <si>
    <t>Prefer not to say</t>
  </si>
  <si>
    <t>Cattle type</t>
  </si>
  <si>
    <t>2016 average herd size per holding (Number)</t>
  </si>
  <si>
    <t>2017 average herd size per holding (Number)</t>
  </si>
  <si>
    <t>2018 average herd size per holding (Number)</t>
  </si>
  <si>
    <t>2019 average herd size per holding (Number)</t>
  </si>
  <si>
    <t>2020 average herd size per holding (Number)</t>
  </si>
  <si>
    <t>2021 average herd size per holding (Number)</t>
  </si>
  <si>
    <t>2022 average herd size per holding (Number)</t>
  </si>
  <si>
    <t>2023 average herd size per holding (Number)</t>
  </si>
  <si>
    <t>2024 average herd size per holding (Number)</t>
  </si>
  <si>
    <t>2025 average herd size per holding (Number)</t>
  </si>
  <si>
    <t>2026 average herd size per holding (Number)</t>
  </si>
  <si>
    <t>Female dairy cattle aged 2 and over with offspring herd</t>
  </si>
  <si>
    <t>Other female dairy herd</t>
  </si>
  <si>
    <t>Total female dairy herd</t>
  </si>
  <si>
    <t>Female beef cattle aged 2 and over with offspring herd</t>
  </si>
  <si>
    <t>Other female beef herd</t>
  </si>
  <si>
    <t>Total female beef herd</t>
  </si>
  <si>
    <t>Male cattle herd</t>
  </si>
  <si>
    <t>All cattle herd</t>
  </si>
  <si>
    <t>Table 27: Number of holdings with female dairy cows aged 2+ with offspring by herd size, 2016 to 2026 [note 25, 26]</t>
  </si>
  <si>
    <t>Cattle herd size</t>
  </si>
  <si>
    <t>2016 (Number of holdings)</t>
  </si>
  <si>
    <t>2017 (Number of holdings)</t>
  </si>
  <si>
    <t>2018 (Number of holdings)</t>
  </si>
  <si>
    <t>2019 (Number of holdings)</t>
  </si>
  <si>
    <t>2020 (Number of holdings)</t>
  </si>
  <si>
    <t>2021 (Number of holdings)</t>
  </si>
  <si>
    <t>2022 (Number of holdings)</t>
  </si>
  <si>
    <t>2023 (Number of holdings)</t>
  </si>
  <si>
    <t>2024 (Number of holdings)</t>
  </si>
  <si>
    <t>2025 (Number of holdings)</t>
  </si>
  <si>
    <t>2026 (Number of holdings)</t>
  </si>
  <si>
    <t>1-4</t>
  </si>
  <si>
    <t>5-19</t>
  </si>
  <si>
    <t>20-49</t>
  </si>
  <si>
    <t>50-99</t>
  </si>
  <si>
    <t>100-199</t>
  </si>
  <si>
    <t>200-299</t>
  </si>
  <si>
    <t>300-499</t>
  </si>
  <si>
    <t>500+</t>
  </si>
  <si>
    <t>Table 28: Number of holdings with female beef cows aged 2+ with offspring by herd size, 2016 to 2026 [note 25, 26]</t>
  </si>
  <si>
    <t>Number of holdings with crops and grass by region and sub-region, June 2026</t>
  </si>
  <si>
    <t>Area of crops and grass by region and sub-region, June 2026</t>
  </si>
  <si>
    <t>Number of holdings with livestock by region and sub-region, June 2026</t>
  </si>
  <si>
    <t>Number of livestock by region and sub-region, June 2026</t>
  </si>
  <si>
    <t>Number of holdings with occupiers and employees by region and sub-region, June 2026</t>
  </si>
  <si>
    <t>Number of occupiers and employees by region and sub-region, June 2026</t>
  </si>
  <si>
    <t>Number of holdings by region, sub-region and farm type, June 2026</t>
  </si>
  <si>
    <t>Agricultural area of holdings by region, sub-region and farm type, June 2026</t>
  </si>
  <si>
    <t>Table 26: Average herd size per holding by cattle type, 2016 to 2026 [note 25, 26]</t>
  </si>
  <si>
    <t>Average herd size per holding by cattle type, 2016 to 2026</t>
  </si>
  <si>
    <t>Agricultural Census in Northern Ireland | Department of Agriculture, Environment and Rural Affairs</t>
  </si>
  <si>
    <t>Link to Contents table</t>
  </si>
  <si>
    <t>Note on table</t>
  </si>
  <si>
    <t>Tables 1 to 8</t>
  </si>
  <si>
    <t>Table 1, table 2</t>
  </si>
  <si>
    <t>Note 27</t>
  </si>
  <si>
    <t>Note 28</t>
  </si>
  <si>
    <t>Only includes occupiers who provided sex data and occupier working time information.</t>
  </si>
  <si>
    <t>Only includes occupiers who provided sex data.</t>
  </si>
  <si>
    <t>In 2026, a methodological improvement to the imputation of land use variables resulted in some holdings, particularly those under 10 hectares, moving between area size bands compared with 2025.</t>
  </si>
  <si>
    <t>Only includes occupiers who provided age and sex data, and occupier working time information.</t>
  </si>
  <si>
    <t>Note 29</t>
  </si>
  <si>
    <t>A methodological issue affecting estimates of 'woodland and other land' was identified and corrected in 2026. As a result, figures for woodland and other land and total agricultural area have been revised for 2023 onwards and should be used when comparing changes over time.</t>
  </si>
  <si>
    <t>[note 6] [note 29]</t>
  </si>
  <si>
    <t>[note 29]</t>
  </si>
  <si>
    <t>Tables 26 to 28</t>
  </si>
  <si>
    <t>Table 9: Number of occupiers by sex, June 2026 [note 27]</t>
  </si>
  <si>
    <t>Table 13: Area of owned or rented land, 2016 to 2026 [note 12, 22, 23, 29]</t>
  </si>
  <si>
    <t>Table 14: Number, area and Standard Output of holdings by main farm type, June 2026 [note 13, 14, 22]</t>
  </si>
  <si>
    <t>Table 15: Agricultural area by Less Favoured Area (LFA), June 2026 [note 16, 17, 18, 26]</t>
  </si>
  <si>
    <t>Table 17: Area of crops and grass by region and sub-region, June 2026 [note 16, 17, 18, 22]</t>
  </si>
  <si>
    <t>Table 18: Number of holdings with livestock by region and sub-region, June 2026 [note 19, 20, 22]</t>
  </si>
  <si>
    <t>Table 19: Number of livestock by region and sub-region, June 2026 [note 19, 20, 22]</t>
  </si>
  <si>
    <t>Tables 15 to 17</t>
  </si>
  <si>
    <t>Table 15, table 17</t>
  </si>
  <si>
    <t>Table 18, table 19</t>
  </si>
  <si>
    <t>Tables 1 to 2, tables 6 to 8, table 13 to 14, tables 16 to 21</t>
  </si>
  <si>
    <t>Table 1, table 8, table 13</t>
  </si>
  <si>
    <t>Table 1, table 13</t>
  </si>
  <si>
    <t>Table 10: Number of occupiers by sex and working time, June 2026 [note 24]</t>
  </si>
  <si>
    <t>Number of occupiers by sex and working time, June 2026</t>
  </si>
  <si>
    <t>Number of occupiers by age, sex and working time, June 2026</t>
  </si>
  <si>
    <t>[Note 12]</t>
  </si>
  <si>
    <t xml:space="preserve">[Note 12] </t>
  </si>
  <si>
    <t>c</t>
  </si>
  <si>
    <t>Table 11: Number of occupiers by age, sex and working time, June 2026 [note 11, 23]</t>
  </si>
  <si>
    <t>Table 16: Number of holdings with crops and grass by region and sub-region, June 2026 [note 15, 16, 17, 22, 23]</t>
  </si>
  <si>
    <t>[note 23] [applies to cell 4, 12]</t>
  </si>
  <si>
    <t>[note 23] [applies to cell 3, 5, 7, 9, 10, 11, 12, 13, 14]</t>
  </si>
  <si>
    <t>[note 23] [applies to cell 3, 13, 14]</t>
  </si>
  <si>
    <t>[note 23] [applies to cell 4, 13]</t>
  </si>
  <si>
    <t>[note 23] [applies to cell 2, 3]</t>
  </si>
  <si>
    <t>[note 23] [applies to cell 2, 3, 10, 11]</t>
  </si>
  <si>
    <t>[note 23] [applies to cell 2, 12]</t>
  </si>
  <si>
    <t>[note 23] [applies to cell 3, 4]</t>
  </si>
  <si>
    <t>[note 23]</t>
  </si>
  <si>
    <t>[note 23] applies to cell 4, 13]</t>
  </si>
  <si>
    <t>[note 23] [applies to cell 2, 9]</t>
  </si>
  <si>
    <t>[note 23] [applies to cell 2, 3, 5, 7, 10, 11]</t>
  </si>
  <si>
    <t>Table 21: Number of occupiers and employees by region and sub-region, June 2026 [note 23, 26]</t>
  </si>
  <si>
    <t>Table 20: Number of holdings with occupiers and employees by region and sub-region, June 2026 [note 21, 23]</t>
  </si>
  <si>
    <t>Table 24: Number of holdings by area size band and farm type, June 2026 [note 23, 28]</t>
  </si>
  <si>
    <t>Table 23: Agricultural area of holdings by region, sub-region and farm type, June 2026 [note 23]</t>
  </si>
  <si>
    <t>Table 22: Number of holdings by region, sub-region and farm type, June 2026 [note 23]</t>
  </si>
  <si>
    <t>Table 25: Agricultural area of holdings by area size band and farm type, June 2026 [note 23]</t>
  </si>
  <si>
    <t>Table 12: Number of holdings, land use, livestock, and workforce by legal responsibility, June 2026 [note 23]</t>
  </si>
  <si>
    <t>Number of holdings, land use, livestock, and workforce by legal responsibility, June 2026</t>
  </si>
  <si>
    <t>Legal responsibility</t>
  </si>
  <si>
    <t>Two or more not related</t>
  </si>
  <si>
    <t>Area of holdings (Hectares)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</si>
</sst>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0.0%"/>
    <numFmt numFmtId="166" formatCode="_-* #,##0_-;\-* #,##0_-;_-* &quot;-&quot;??_-;_-@_-"/>
  </numFmts>
  <fonts count="14" x14ac:knownFonts="1">
    <font>
      <sz val="12"/>
      <color rgb="FF000000"/>
      <name val="Arial"/>
    </font>
    <font>
      <u/>
      <sz val="12"/>
      <color theme="10"/>
      <name val="Arial"/>
      <family val="2"/>
    </font>
    <font>
      <b/>
      <sz val="16"/>
      <color rgb="FF000000"/>
      <name val="Arial"/>
      <family val="2"/>
    </font>
    <font>
      <b/>
      <sz val="14"/>
      <color rgb="FF000000"/>
      <name val="Arial"/>
      <family val="2"/>
    </font>
    <font>
      <b/>
      <sz val="12"/>
      <color rgb="FF000000"/>
      <name val="Arial"/>
      <family val="2"/>
    </font>
    <font>
      <sz val="12"/>
      <color rgb="FF000000"/>
      <name val="Arial"/>
      <family val="2"/>
    </font>
    <font>
      <u/>
      <sz val="12"/>
      <color theme="10"/>
      <name val="Arial"/>
      <family val="2"/>
    </font>
    <font>
      <sz val="12"/>
      <color theme="1"/>
      <name val="Open Sans"/>
      <family val="2"/>
    </font>
    <font>
      <sz val="12"/>
      <color rgb="FF000000"/>
      <name val="Arial"/>
      <family val="2"/>
    </font>
    <font>
      <sz val="8"/>
      <name val="Arial"/>
      <family val="2"/>
    </font>
    <font>
      <sz val="12"/>
      <color rgb="FFC00000"/>
      <name val="Arial"/>
      <family val="2"/>
    </font>
    <font>
      <b/>
      <sz val="12"/>
      <color rgb="FFC00000"/>
      <name val="Arial"/>
      <family val="2"/>
    </font>
    <font>
      <sz val="12"/>
      <name val="Arial"/>
      <family val="2"/>
    </font>
    <font>
      <b/>
      <sz val="12"/>
      <name val="Arial"/>
      <family val="2"/>
    </font>
  </fonts>
  <fills count="2">
    <fill>
      <patternFill patternType="none"/>
    </fill>
    <fill>
      <patternFill patternType="gray125"/>
    </fill>
  </fills>
  <borders count="2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s>
  <cellStyleXfs count="4">
    <xf numFmtId="0" fontId="0" fillId="0" borderId="0"/>
    <xf numFmtId="0" fontId="6" fillId="0" borderId="0" applyNumberFormat="0" applyFill="0" applyBorder="0" applyAlignment="0" applyProtection="0"/>
    <xf numFmtId="43" fontId="8" fillId="0" borderId="0" applyFont="0" applyFill="0" applyBorder="0" applyAlignment="0" applyProtection="0"/>
    <xf numFmtId="9" fontId="8" fillId="0" borderId="0" applyFont="0" applyFill="0" applyBorder="0" applyAlignment="0" applyProtection="0"/>
  </cellStyleXfs>
  <cellXfs count="97">
    <xf numFmtId="0" fontId="0" fillId="0" borderId="0" xfId="0"/>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1" fillId="0" borderId="0" xfId="0" applyFont="1"/>
    <xf numFmtId="0" fontId="0" fillId="0" borderId="0" xfId="0" applyAlignment="1">
      <alignment horizontal="right"/>
    </xf>
    <xf numFmtId="3" fontId="0" fillId="0" borderId="0" xfId="0" applyNumberFormat="1" applyAlignment="1">
      <alignment horizontal="right" wrapText="1"/>
    </xf>
    <xf numFmtId="3" fontId="4" fillId="0" borderId="0" xfId="0" applyNumberFormat="1" applyFont="1" applyAlignment="1">
      <alignment horizontal="right" wrapText="1"/>
    </xf>
    <xf numFmtId="0" fontId="0" fillId="0" borderId="4" xfId="0" applyBorder="1" applyAlignment="1">
      <alignment wrapText="1"/>
    </xf>
    <xf numFmtId="0" fontId="4" fillId="0" borderId="4" xfId="0" applyFont="1" applyBorder="1" applyAlignment="1">
      <alignment horizontal="left" wrapText="1"/>
    </xf>
    <xf numFmtId="0" fontId="0" fillId="0" borderId="5" xfId="0" applyBorder="1" applyAlignment="1">
      <alignment wrapText="1"/>
    </xf>
    <xf numFmtId="0" fontId="4" fillId="0" borderId="1" xfId="0" applyFont="1" applyBorder="1" applyAlignment="1">
      <alignment wrapText="1"/>
    </xf>
    <xf numFmtId="0" fontId="4" fillId="0" borderId="6" xfId="0" applyFont="1" applyBorder="1" applyAlignment="1">
      <alignment horizontal="right" wrapText="1"/>
    </xf>
    <xf numFmtId="0" fontId="4" fillId="0" borderId="7" xfId="0" applyFont="1" applyBorder="1" applyAlignment="1">
      <alignment wrapText="1"/>
    </xf>
    <xf numFmtId="0" fontId="4" fillId="0" borderId="8" xfId="0" applyFont="1" applyBorder="1" applyAlignment="1">
      <alignment horizontal="right" wrapText="1"/>
    </xf>
    <xf numFmtId="3" fontId="0" fillId="0" borderId="9" xfId="0" applyNumberFormat="1" applyBorder="1" applyAlignment="1">
      <alignment horizontal="right" wrapText="1"/>
    </xf>
    <xf numFmtId="3" fontId="4" fillId="0" borderId="9" xfId="0" applyNumberFormat="1" applyFont="1" applyBorder="1" applyAlignment="1">
      <alignment horizontal="right" wrapText="1"/>
    </xf>
    <xf numFmtId="0" fontId="4" fillId="0" borderId="10" xfId="0" applyFont="1" applyBorder="1" applyAlignment="1">
      <alignment horizontal="right" wrapText="1"/>
    </xf>
    <xf numFmtId="3" fontId="0" fillId="0" borderId="11" xfId="0" applyNumberFormat="1" applyBorder="1" applyAlignment="1">
      <alignment horizontal="right" wrapText="1"/>
    </xf>
    <xf numFmtId="3" fontId="4" fillId="0" borderId="11" xfId="0" applyNumberFormat="1" applyFont="1" applyBorder="1" applyAlignment="1">
      <alignment horizontal="right" wrapText="1"/>
    </xf>
    <xf numFmtId="164" fontId="0" fillId="0" borderId="11" xfId="0" applyNumberFormat="1" applyBorder="1" applyAlignment="1">
      <alignment horizontal="right" wrapText="1"/>
    </xf>
    <xf numFmtId="164" fontId="4" fillId="0" borderId="11" xfId="0" applyNumberFormat="1" applyFont="1" applyBorder="1" applyAlignment="1">
      <alignment horizontal="right" wrapText="1"/>
    </xf>
    <xf numFmtId="3" fontId="5" fillId="0" borderId="0" xfId="0" applyNumberFormat="1" applyFont="1" applyAlignment="1">
      <alignment horizontal="right" wrapText="1"/>
    </xf>
    <xf numFmtId="3" fontId="5" fillId="0" borderId="11" xfId="0" applyNumberFormat="1" applyFont="1" applyBorder="1" applyAlignment="1">
      <alignment horizontal="right" wrapText="1"/>
    </xf>
    <xf numFmtId="164" fontId="5" fillId="0" borderId="11" xfId="0" applyNumberFormat="1" applyFont="1" applyBorder="1" applyAlignment="1">
      <alignment horizontal="right" wrapText="1"/>
    </xf>
    <xf numFmtId="164" fontId="0" fillId="0" borderId="9" xfId="0" applyNumberFormat="1" applyBorder="1" applyAlignment="1">
      <alignment horizontal="right" wrapText="1"/>
    </xf>
    <xf numFmtId="164" fontId="4" fillId="0" borderId="9" xfId="0" applyNumberFormat="1" applyFont="1" applyBorder="1" applyAlignment="1">
      <alignment horizontal="right" wrapText="1"/>
    </xf>
    <xf numFmtId="0" fontId="4" fillId="0" borderId="5" xfId="0" applyFont="1" applyBorder="1" applyAlignment="1">
      <alignment horizontal="left" wrapText="1"/>
    </xf>
    <xf numFmtId="0" fontId="4" fillId="0" borderId="7" xfId="0" applyFont="1" applyBorder="1" applyAlignment="1">
      <alignment horizontal="right" wrapText="1"/>
    </xf>
    <xf numFmtId="164" fontId="0" fillId="0" borderId="0" xfId="0" applyNumberFormat="1" applyAlignment="1">
      <alignment horizontal="right" wrapText="1"/>
    </xf>
    <xf numFmtId="164" fontId="4" fillId="0" borderId="0" xfId="0" applyNumberFormat="1" applyFont="1" applyAlignment="1">
      <alignment horizontal="right" wrapText="1"/>
    </xf>
    <xf numFmtId="0" fontId="4" fillId="0" borderId="15" xfId="0" applyFont="1" applyBorder="1" applyAlignment="1">
      <alignment horizontal="right" wrapText="1"/>
    </xf>
    <xf numFmtId="164" fontId="4" fillId="0" borderId="2" xfId="0" applyNumberFormat="1" applyFont="1" applyBorder="1" applyAlignment="1">
      <alignment horizontal="right" wrapText="1"/>
    </xf>
    <xf numFmtId="0" fontId="0" fillId="0" borderId="3" xfId="0" applyBorder="1" applyAlignment="1">
      <alignment wrapText="1"/>
    </xf>
    <xf numFmtId="0" fontId="4" fillId="0" borderId="3" xfId="0" applyFont="1" applyBorder="1" applyAlignment="1">
      <alignment horizontal="left" wrapText="1"/>
    </xf>
    <xf numFmtId="0" fontId="5" fillId="0" borderId="0" xfId="0" applyFont="1" applyAlignment="1">
      <alignment wrapText="1"/>
    </xf>
    <xf numFmtId="0" fontId="2" fillId="0" borderId="0" xfId="0" applyFont="1" applyAlignment="1">
      <alignment horizontal="left"/>
    </xf>
    <xf numFmtId="0" fontId="0" fillId="0" borderId="0" xfId="0" applyAlignment="1">
      <alignment horizontal="left"/>
    </xf>
    <xf numFmtId="0" fontId="1" fillId="0" borderId="0" xfId="0" applyFont="1" applyAlignment="1">
      <alignment horizontal="left"/>
    </xf>
    <xf numFmtId="0" fontId="0" fillId="0" borderId="4" xfId="0" applyBorder="1" applyAlignment="1">
      <alignment horizontal="left" wrapText="1"/>
    </xf>
    <xf numFmtId="0" fontId="4" fillId="0" borderId="1" xfId="0" applyFont="1" applyBorder="1" applyAlignment="1">
      <alignment horizontal="left" wrapText="1"/>
    </xf>
    <xf numFmtId="3" fontId="4" fillId="0" borderId="12" xfId="0" applyNumberFormat="1" applyFont="1" applyBorder="1" applyAlignment="1">
      <alignment horizontal="right" wrapText="1"/>
    </xf>
    <xf numFmtId="0" fontId="2" fillId="0" borderId="9" xfId="0" applyFont="1" applyBorder="1"/>
    <xf numFmtId="0" fontId="6" fillId="0" borderId="0" xfId="1"/>
    <xf numFmtId="0" fontId="4" fillId="0" borderId="18" xfId="0" applyFont="1" applyBorder="1" applyAlignment="1">
      <alignment horizontal="right" wrapText="1"/>
    </xf>
    <xf numFmtId="3" fontId="0" fillId="0" borderId="13" xfId="0" applyNumberFormat="1" applyBorder="1" applyAlignment="1">
      <alignment horizontal="right" wrapText="1"/>
    </xf>
    <xf numFmtId="3" fontId="4" fillId="0" borderId="13" xfId="0" applyNumberFormat="1" applyFont="1" applyBorder="1" applyAlignment="1">
      <alignment horizontal="right" wrapText="1"/>
    </xf>
    <xf numFmtId="0" fontId="5" fillId="0" borderId="4" xfId="0" applyFont="1" applyBorder="1" applyAlignment="1">
      <alignment horizontal="left" wrapText="1"/>
    </xf>
    <xf numFmtId="4" fontId="7" fillId="0" borderId="0" xfId="0" applyNumberFormat="1" applyFont="1"/>
    <xf numFmtId="9" fontId="0" fillId="0" borderId="0" xfId="0" applyNumberFormat="1"/>
    <xf numFmtId="0" fontId="6" fillId="0" borderId="0" xfId="1" applyAlignment="1">
      <alignment wrapText="1"/>
    </xf>
    <xf numFmtId="3" fontId="0" fillId="0" borderId="0" xfId="0" applyNumberFormat="1"/>
    <xf numFmtId="9" fontId="0" fillId="0" borderId="0" xfId="3" applyFont="1"/>
    <xf numFmtId="165" fontId="0" fillId="0" borderId="0" xfId="3" applyNumberFormat="1" applyFont="1"/>
    <xf numFmtId="43" fontId="0" fillId="0" borderId="0" xfId="2" applyFont="1"/>
    <xf numFmtId="43" fontId="0" fillId="0" borderId="0" xfId="0" applyNumberFormat="1"/>
    <xf numFmtId="166" fontId="0" fillId="0" borderId="0" xfId="2" applyNumberFormat="1" applyFont="1"/>
    <xf numFmtId="0" fontId="6" fillId="0" borderId="0" xfId="1" applyAlignment="1">
      <alignment horizontal="left" wrapText="1"/>
    </xf>
    <xf numFmtId="0" fontId="5" fillId="0" borderId="0" xfId="0" applyFont="1" applyAlignment="1">
      <alignment horizontal="left" wrapText="1"/>
    </xf>
    <xf numFmtId="0" fontId="11" fillId="0" borderId="0" xfId="0" applyFont="1" applyAlignment="1">
      <alignment horizontal="left" wrapText="1"/>
    </xf>
    <xf numFmtId="0" fontId="5"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4" fillId="0" borderId="0" xfId="0" applyFont="1"/>
    <xf numFmtId="0" fontId="5" fillId="0" borderId="4" xfId="0" applyFont="1" applyBorder="1" applyAlignment="1">
      <alignment wrapText="1"/>
    </xf>
    <xf numFmtId="3" fontId="0" fillId="0" borderId="13" xfId="0" applyNumberFormat="1" applyBorder="1"/>
    <xf numFmtId="0" fontId="0" fillId="0" borderId="13" xfId="0" applyBorder="1"/>
    <xf numFmtId="0" fontId="0" fillId="0" borderId="19" xfId="0" applyBorder="1" applyAlignment="1">
      <alignment horizontal="left" wrapText="1"/>
    </xf>
    <xf numFmtId="0" fontId="5" fillId="0" borderId="4" xfId="0" applyFont="1" applyBorder="1"/>
    <xf numFmtId="4" fontId="0" fillId="0" borderId="0" xfId="0" applyNumberFormat="1"/>
    <xf numFmtId="0" fontId="12" fillId="0" borderId="0" xfId="0" applyFont="1"/>
    <xf numFmtId="0" fontId="13" fillId="0" borderId="14" xfId="0" applyFont="1" applyBorder="1" applyAlignment="1">
      <alignment wrapText="1"/>
    </xf>
    <xf numFmtId="0" fontId="12" fillId="0" borderId="13" xfId="0" applyFont="1" applyBorder="1" applyAlignment="1">
      <alignment wrapText="1"/>
    </xf>
    <xf numFmtId="0" fontId="13" fillId="0" borderId="13" xfId="0" applyFont="1" applyBorder="1" applyAlignment="1">
      <alignment horizontal="left" wrapText="1"/>
    </xf>
    <xf numFmtId="1" fontId="0" fillId="0" borderId="0" xfId="3" applyNumberFormat="1" applyFont="1"/>
    <xf numFmtId="3" fontId="12" fillId="0" borderId="0" xfId="0" applyNumberFormat="1" applyFont="1" applyAlignment="1">
      <alignment horizontal="right" wrapText="1"/>
    </xf>
    <xf numFmtId="3" fontId="13" fillId="0" borderId="0" xfId="0" applyNumberFormat="1" applyFont="1" applyAlignment="1">
      <alignment horizontal="right" wrapText="1"/>
    </xf>
    <xf numFmtId="0" fontId="1" fillId="0" borderId="0" xfId="1" applyFont="1"/>
    <xf numFmtId="3" fontId="0" fillId="0" borderId="0" xfId="0" applyNumberFormat="1" applyAlignment="1">
      <alignment horizontal="right"/>
    </xf>
    <xf numFmtId="2" fontId="0" fillId="0" borderId="0" xfId="3" applyNumberFormat="1" applyFont="1"/>
    <xf numFmtId="3" fontId="0" fillId="0" borderId="0" xfId="3" applyNumberFormat="1" applyFont="1" applyBorder="1" applyAlignment="1">
      <alignment horizontal="right"/>
    </xf>
    <xf numFmtId="3" fontId="0" fillId="0" borderId="20" xfId="0" applyNumberFormat="1" applyBorder="1" applyAlignment="1">
      <alignment horizontal="right"/>
    </xf>
    <xf numFmtId="3" fontId="0" fillId="0" borderId="17" xfId="0" applyNumberFormat="1" applyBorder="1" applyAlignment="1">
      <alignment horizontal="right" wrapText="1"/>
    </xf>
    <xf numFmtId="3" fontId="0" fillId="0" borderId="16" xfId="0" applyNumberFormat="1" applyBorder="1" applyAlignment="1">
      <alignment horizontal="right" wrapText="1"/>
    </xf>
    <xf numFmtId="0" fontId="10" fillId="0" borderId="0" xfId="0" applyFont="1" applyAlignment="1">
      <alignment wrapText="1"/>
    </xf>
    <xf numFmtId="0" fontId="12" fillId="0" borderId="0" xfId="0" applyFont="1" applyAlignment="1">
      <alignment wrapText="1"/>
    </xf>
    <xf numFmtId="0" fontId="12" fillId="0" borderId="0" xfId="0" applyFont="1" applyAlignment="1">
      <alignment horizontal="left" wrapText="1"/>
    </xf>
    <xf numFmtId="0" fontId="0" fillId="0" borderId="21" xfId="0" applyBorder="1" applyAlignment="1">
      <alignment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24" xfId="0" applyFont="1" applyBorder="1" applyAlignment="1">
      <alignment horizontal="right" wrapText="1"/>
    </xf>
    <xf numFmtId="0" fontId="4" fillId="0" borderId="25" xfId="0" applyFont="1" applyBorder="1" applyAlignment="1">
      <alignment horizontal="right" wrapText="1"/>
    </xf>
    <xf numFmtId="3" fontId="0" fillId="0" borderId="26" xfId="0" applyNumberFormat="1" applyBorder="1" applyAlignment="1">
      <alignment horizontal="right" wrapText="1"/>
    </xf>
    <xf numFmtId="3" fontId="4" fillId="0" borderId="27" xfId="0" applyNumberFormat="1" applyFont="1" applyBorder="1" applyAlignment="1">
      <alignment horizontal="right" wrapText="1"/>
    </xf>
  </cellXfs>
  <cellStyles count="4">
    <cellStyle name="Comma" xfId="2" builtinId="3"/>
    <cellStyle name="Hyperlink" xfId="1" builtinId="8"/>
    <cellStyle name="Normal" xfId="0" builtinId="0"/>
    <cellStyle name="Per cent" xfId="3" builtinId="5"/>
  </cellStyles>
  <dxfs count="444">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medium">
          <color indexed="64"/>
        </left>
        <right/>
        <top/>
        <bottom/>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style="thin">
          <color indexed="64"/>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vertical="bottom" textRotation="0" indent="0" justifyLastLine="0" shrinkToFit="0" readingOrder="0"/>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vertical="bottom" textRotation="0" indent="0" justifyLastLine="0" shrinkToFit="0" readingOrder="0"/>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style="thin">
          <color indexed="64"/>
        </left>
        <right style="thin">
          <color indexed="64"/>
        </right>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alignment horizontal="right" vertical="bottom" textRotation="0" wrapText="1" indent="0" justifyLastLine="0" shrinkToFit="0" readingOrder="0"/>
    </dxf>
    <dxf>
      <alignment horizontal="left" vertical="bottom" textRotation="0" indent="0" justifyLastLine="0" shrinkToFit="0" readingOrder="0"/>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alignment horizontal="left" vertical="bottom" textRotation="0" indent="0" justifyLastLine="0" shrinkToFit="0" readingOrder="0"/>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dxf>
    <dxf>
      <numFmt numFmtId="3" formatCode="#,##0"/>
    </dxf>
    <dxf>
      <numFmt numFmtId="3" formatCode="#,##0"/>
      <border diagonalUp="0" diagonalDown="0" outline="0">
        <left/>
        <right style="thin">
          <color indexed="64"/>
        </right>
        <top/>
        <bottom/>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border diagonalUp="0" diagonalDown="0" outline="0">
        <left style="thin">
          <color indexed="64"/>
        </left>
        <right/>
        <top/>
        <bottom/>
      </border>
    </dxf>
    <dxf>
      <numFmt numFmtId="3" formatCode="#,##0"/>
      <border diagonalUp="0" diagonalDown="0">
        <left style="thin">
          <color indexed="64"/>
        </left>
        <right/>
        <vertical/>
      </border>
    </dxf>
    <dxf>
      <numFmt numFmtId="3" formatCode="#,##0"/>
      <border diagonalUp="0" diagonalDown="0" outline="0">
        <left/>
        <right style="thin">
          <color indexed="64"/>
        </right>
        <top/>
        <bottom/>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border diagonalUp="0" diagonalDown="0" outline="0">
        <left style="thin">
          <color indexed="64"/>
        </left>
        <right style="thin">
          <color indexed="64"/>
        </right>
        <top/>
        <bottom/>
      </border>
    </dxf>
    <dxf>
      <numFmt numFmtId="3" formatCode="#,##0"/>
      <border diagonalUp="0" diagonalDown="0">
        <left style="thin">
          <color indexed="64"/>
        </left>
        <right style="thin">
          <color indexed="64"/>
        </right>
        <vertical/>
      </border>
    </dxf>
    <dxf>
      <numFmt numFmtId="3" formatCode="#,##0"/>
      <border diagonalUp="0" diagonalDown="0" outline="0">
        <left/>
        <right style="thin">
          <color indexed="64"/>
        </right>
        <top/>
        <bottom/>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border diagonalUp="0" diagonalDown="0" outline="0">
        <left style="medium">
          <color indexed="64"/>
        </left>
        <right style="medium">
          <color indexed="64"/>
        </right>
        <top/>
        <bottom/>
      </border>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border diagonalUp="0" diagonalDown="0">
        <left style="thin">
          <color indexed="64"/>
        </left>
        <right style="thin">
          <color indexed="64"/>
        </right>
        <vertical/>
      </border>
    </dxf>
    <dxf>
      <numFmt numFmtId="3" formatCode="#,##0"/>
      <border diagonalUp="0" diagonalDown="0">
        <left/>
        <right style="thin">
          <color indexed="64"/>
        </right>
        <vertical/>
      </border>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style="thin">
          <color indexed="64"/>
        </left>
        <right style="thin">
          <color indexed="64"/>
        </right>
        <top/>
        <bottom/>
        <vertical/>
        <horizontal/>
      </border>
    </dxf>
    <dxf>
      <numFmt numFmtId="3" formatCode="#,##0"/>
      <fill>
        <patternFill patternType="none">
          <fgColor indexed="64"/>
          <bgColor auto="1"/>
        </patternFill>
      </fill>
      <border diagonalUp="0" diagonalDown="0" outline="0">
        <left/>
        <right style="thin">
          <color indexed="64"/>
        </right>
        <top/>
        <bottom/>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top/>
        <bottom/>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style="thin">
          <color indexed="64"/>
        </left>
        <right style="thin">
          <color indexed="64"/>
        </right>
        <top/>
        <bottom/>
      </border>
    </dxf>
    <dxf>
      <numFmt numFmtId="3" formatCode="#,##0"/>
      <fill>
        <patternFill patternType="none">
          <fgColor indexed="64"/>
          <bgColor auto="1"/>
        </patternFill>
      </fill>
      <border diagonalUp="0" diagonalDown="0" outline="0">
        <left/>
        <right style="thin">
          <color indexed="64"/>
        </right>
        <top/>
        <bottom/>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style="thin">
          <color indexed="64"/>
        </left>
        <right style="thin">
          <color indexed="64"/>
        </right>
        <vertical/>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style="thin">
          <color indexed="64"/>
        </left>
        <right style="thin">
          <color indexed="64"/>
        </right>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right style="thin">
          <color indexed="64"/>
        </right>
        <vertical/>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ill>
        <patternFill patternType="none">
          <fgColor indexed="64"/>
          <bgColor auto="1"/>
        </patternFill>
      </fill>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bottom/>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border diagonalUp="0" diagonalDown="0" outline="0">
        <left style="medium">
          <color indexed="64"/>
        </left>
        <right style="medium">
          <color indexed="64"/>
        </right>
        <top/>
        <bottom/>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border>
        <bottom style="medium">
          <color indexed="64"/>
        </bottom>
      </border>
    </dxf>
    <dxf>
      <fill>
        <patternFill patternType="none">
          <fgColor indexed="64"/>
          <bgColor auto="1"/>
        </patternFill>
      </fill>
    </dxf>
    <dxf>
      <numFmt numFmtId="3" formatCode="#,##0"/>
      <border diagonalUp="0" diagonalDown="0">
        <left/>
        <right style="thin">
          <color indexed="64"/>
        </right>
        <top/>
        <bottom/>
        <vertical/>
        <horizontal/>
      </border>
    </dxf>
    <dxf>
      <numFmt numFmtId="3" formatCode="#,##0"/>
      <border diagonalUp="0" diagonalDown="0">
        <left/>
        <right style="thin">
          <color indexed="64"/>
        </right>
        <vertical/>
      </border>
    </dxf>
    <dxf>
      <numFmt numFmtId="3" formatCode="#,##0"/>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border diagonalUp="0" diagonalDown="0">
        <left/>
        <right style="thin">
          <color indexed="64"/>
        </right>
        <vertical/>
      </border>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dxf>
    <dxf>
      <numFmt numFmtId="164" formatCode="#,##0.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fill>
        <patternFill patternType="none">
          <fgColor indexed="64"/>
          <bgColor auto="1"/>
        </patternFill>
      </fill>
    </dxf>
    <dxf>
      <numFmt numFmtId="3" formatCode="#,##0"/>
      <fill>
        <patternFill patternType="none">
          <fgColor indexed="64"/>
          <bgColor auto="1"/>
        </patternFill>
      </fill>
      <border diagonalUp="0" diagonalDown="0" outline="0">
        <left style="thin">
          <color indexed="64"/>
        </left>
        <right style="thin">
          <color indexed="64"/>
        </right>
      </border>
    </dxf>
    <dxf>
      <numFmt numFmtId="3" formatCode="#,##0"/>
      <fill>
        <patternFill patternType="none">
          <fgColor indexed="64"/>
          <bgColor auto="1"/>
        </patternFill>
      </fill>
      <border diagonalUp="0" diagonalDown="0" outline="0">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fill>
        <patternFill patternType="none">
          <fgColor indexed="64"/>
          <bgColor auto="1"/>
        </patternFill>
      </fill>
      <border diagonalUp="0" diagonalDown="0" outline="0">
        <left style="medium">
          <color indexed="64"/>
        </left>
        <right style="medium">
          <color indexed="64"/>
        </right>
        <top/>
        <bottom/>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border>
        <bottom style="medium">
          <color indexed="64"/>
        </bottom>
      </border>
    </dxf>
    <dxf>
      <fill>
        <patternFill patternType="none">
          <fgColor indexed="64"/>
          <bgColor auto="1"/>
        </patternFill>
      </fill>
    </dxf>
    <dxf>
      <numFmt numFmtId="3" formatCode="#,##0"/>
    </dxf>
    <dxf>
      <numFmt numFmtId="3" formatCode="#,##0"/>
      <border diagonalUp="0" diagonalDown="0">
        <left/>
        <right style="thin">
          <color indexed="64"/>
        </right>
        <vertical/>
      </border>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3" formatCode="#,##0"/>
    </dxf>
    <dxf>
      <border diagonalUp="0" diagonalDown="0">
        <left style="medium">
          <color indexed="64"/>
        </left>
        <right style="medium">
          <color indexed="64"/>
        </right>
        <vertic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right/>
        <top/>
        <bottom/>
        <vertical/>
        <horizontal/>
      </border>
    </dxf>
    <dxf>
      <border outline="0">
        <left style="thin">
          <color indexed="64"/>
        </left>
      </border>
    </dxf>
    <dxf>
      <numFmt numFmtId="164" formatCode="#,##0.0"/>
      <border diagonalUp="0" diagonalDown="0" outline="0">
        <left style="thin">
          <color indexed="64"/>
        </left>
        <right style="thin">
          <color indexed="64"/>
        </right>
      </border>
    </dxf>
    <dxf>
      <numFmt numFmtId="164" formatCode="#,##0.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outline="0">
        <left style="thin">
          <color indexed="64"/>
        </left>
      </border>
    </dxf>
    <dxf>
      <numFmt numFmtId="164" formatCode="#,##0.0"/>
      <border diagonalUp="0" diagonalDown="0" outline="0">
        <left style="thin">
          <color indexed="64"/>
        </left>
        <right style="thin">
          <color indexed="64"/>
        </right>
        <top/>
        <bottom/>
      </border>
    </dxf>
    <dxf>
      <numFmt numFmtId="164" formatCode="#,##0.0"/>
      <border diagonalUp="0" diagonalDown="0" outline="0">
        <left/>
        <right style="thin">
          <color indexed="64"/>
        </right>
        <top/>
        <bottom/>
      </border>
    </dxf>
    <dxf>
      <numFmt numFmtId="3" formatCode="#,##0"/>
      <border diagonalUp="0" diagonalDown="0">
        <left/>
        <right style="thin">
          <color indexed="64"/>
        </right>
        <top/>
        <bottom/>
        <vertical/>
        <horizontal/>
      </border>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outline="0">
        <left style="thin">
          <color indexed="64"/>
        </left>
        <right/>
        <top/>
        <bottom/>
      </border>
    </dxf>
    <dxf>
      <font>
        <strike val="0"/>
        <outline val="0"/>
        <shadow val="0"/>
        <u val="none"/>
        <vertAlign val="baseline"/>
        <sz val="12"/>
        <color auto="1"/>
        <name val="Arial"/>
        <scheme val="none"/>
      </font>
      <border diagonalUp="0" diagonalDown="0" outline="0">
        <left style="thin">
          <color indexed="64"/>
        </left>
        <right/>
        <top/>
        <bottom/>
      </border>
    </dxf>
    <dxf>
      <numFmt numFmtId="164" formatCode="#,##0.0"/>
    </dxf>
    <dxf>
      <numFmt numFmtId="164" formatCode="#,##0.0"/>
    </dxf>
    <dxf>
      <numFmt numFmtId="164" formatCode="#,##0.0"/>
    </dxf>
    <dxf>
      <numFmt numFmtId="164" formatCode="#,##0.0"/>
    </dxf>
    <dxf>
      <numFmt numFmtId="3" formatCode="#,##0"/>
    </dxf>
    <dxf>
      <numFmt numFmtId="3" formatCode="#,##0"/>
    </dxf>
    <dxf>
      <numFmt numFmtId="3" formatCode="#,##0"/>
      <border diagonalUp="0" diagonalDown="0" outline="0">
        <left/>
        <right style="thin">
          <color indexed="64"/>
        </right>
        <top/>
        <bottom/>
      </border>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outline="0">
        <left style="medium">
          <color indexed="64"/>
        </left>
        <right style="medium">
          <color indexed="64"/>
        </right>
        <top/>
        <bottom/>
      </border>
    </dxf>
    <dxf>
      <border diagonalUp="0" diagonalDown="0">
        <left style="medium">
          <color indexed="64"/>
        </left>
        <right style="medium">
          <color indexed="64"/>
        </right>
        <vertic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dxf>
    <dxf>
      <numFmt numFmtId="164" formatCode="#,##0.0"/>
      <border diagonalUp="0" diagonalDown="0" outline="0">
        <left style="thin">
          <color indexed="64"/>
        </left>
        <right style="thin">
          <color indexed="64"/>
        </right>
      </border>
    </dxf>
    <dxf>
      <numFmt numFmtId="3" formatCode="#,##0"/>
      <border diagonalUp="0" diagonalDown="0">
        <left style="thin">
          <color indexed="64"/>
        </left>
        <right style="thin">
          <color indexed="64"/>
        </right>
        <vertical/>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dxf>
    <dxf>
      <numFmt numFmtId="164" formatCode="#,##0.0"/>
      <border diagonalUp="0" diagonalDown="0" outline="0">
        <left style="thin">
          <color indexed="64"/>
        </left>
        <right style="thin">
          <color indexed="64"/>
        </right>
      </border>
    </dxf>
    <dxf>
      <numFmt numFmtId="3" formatCode="#,##0"/>
      <border diagonalUp="0" diagonalDown="0">
        <left style="thin">
          <color indexed="64"/>
        </left>
        <right style="thin">
          <color indexed="64"/>
        </right>
        <vertical/>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numFmt numFmtId="164" formatCode="#,##0.0"/>
      <border diagonalUp="0" diagonalDown="0" outline="0">
        <left style="thin">
          <color indexed="64"/>
        </left>
        <right style="thin">
          <color indexed="64"/>
        </right>
      </border>
    </dxf>
    <dxf>
      <numFmt numFmtId="164" formatCode="#,##0.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outline="0">
        <left style="thin">
          <color indexed="64"/>
        </left>
      </border>
    </dxf>
    <dxf>
      <numFmt numFmtId="164" formatCode="#,##0.0"/>
      <border diagonalUp="0" diagonalDown="0" outline="0">
        <left style="thin">
          <color indexed="64"/>
        </left>
        <right style="thin">
          <color indexed="64"/>
        </right>
      </border>
    </dxf>
    <dxf>
      <numFmt numFmtId="164" formatCode="#,##0.0"/>
      <border diagonalUp="0" diagonalDown="0" outline="0">
        <left style="thin">
          <color indexed="64"/>
        </left>
        <right style="thin">
          <color indexed="64"/>
        </right>
      </border>
    </dxf>
    <dxf>
      <numFmt numFmtId="3" formatCode="#,##0"/>
      <border diagonalUp="0" diagonalDown="0" outline="0">
        <left style="thin">
          <color indexed="64"/>
        </left>
        <right style="thin">
          <color indexed="64"/>
        </right>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alignment horizontal="left" vertical="bottom" textRotation="0" wrapText="1" indent="0" justifyLastLine="0" shrinkToFit="0" readingOrder="0"/>
    </dxf>
  </dxfs>
  <tableStyles count="1" defaultTableStyle="TableStyleMedium2" defaultPivotStyle="PivotStyleLight16">
    <tableStyle name="Invisible" pivot="0" table="0" count="0" xr9:uid="{305E047B-488F-4BA4-89DE-DA627D45D5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Calli Dougall" id="{73BC6C5F-A889-47DA-8B90-E3014697531F}" userId="S::Calli.Dougall@gov.scot::580bf035-af32-49af-8007-30c0126e04d5" providerId="AD"/>
  <person displayName="Euan Wakefield" id="{FA451013-F598-4897-BE68-3C5E739FCA38}" userId="S::Euan.Wakefield@gov.scot::31917c3d-3a7c-48e7-aabd-45ab5d8224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32" totalsRowShown="0">
  <tableColumns count="2">
    <tableColumn id="1" xr3:uid="{00000000-0010-0000-0000-000001000000}" name="Table number"/>
    <tableColumn id="2" xr3:uid="{00000000-0010-0000-0000-000002000000}" name="Table nam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33" totalsRowShown="0">
  <tableColumns count="3">
    <tableColumn id="1" xr3:uid="{00000000-0010-0000-0100-000001000000}" name="Note number"/>
    <tableColumn id="2" xr3:uid="{00000000-0010-0000-0100-000002000000}" name="Note text"/>
    <tableColumn id="3" xr3:uid="{F1CF152A-BAF0-40F3-94B4-F5130D6C7021}" name="Note on table" dataDxfId="443"/>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P51" totalsRowShown="0" headerRowBorderDxfId="442" tableBorderDxfId="441">
  <tableColumns count="16">
    <tableColumn id="1" xr3:uid="{00000000-0010-0000-0200-000001000000}" name="Crop/land use" dataDxfId="440"/>
    <tableColumn id="2" xr3:uid="{00000000-0010-0000-0200-000002000000}" name="2016 Area (Hectares)" dataDxfId="439"/>
    <tableColumn id="3" xr3:uid="{00000000-0010-0000-0200-000003000000}" name="2017 Area (Hectares)" dataDxfId="438"/>
    <tableColumn id="4" xr3:uid="{00000000-0010-0000-0200-000004000000}" name="2018 Area (Hectares)" dataDxfId="437"/>
    <tableColumn id="5" xr3:uid="{00000000-0010-0000-0200-000005000000}" name="2019 Area (Hectares)" dataDxfId="436"/>
    <tableColumn id="6" xr3:uid="{00000000-0010-0000-0200-000006000000}" name="2020 Area (Hectares)" dataDxfId="435"/>
    <tableColumn id="7" xr3:uid="{00000000-0010-0000-0200-000007000000}" name="2021 Area (Hectares)" dataDxfId="434"/>
    <tableColumn id="8" xr3:uid="{00000000-0010-0000-0200-000008000000}" name="2022 Area (Hectares)" dataDxfId="433"/>
    <tableColumn id="9" xr3:uid="{00000000-0010-0000-0200-000009000000}" name="2023 Area (Hectares)" dataDxfId="432"/>
    <tableColumn id="10" xr3:uid="{00000000-0010-0000-0200-00000A000000}" name="2024 Area (Hectares)" dataDxfId="431"/>
    <tableColumn id="11" xr3:uid="{00000000-0010-0000-0200-00000B000000}" name="2025 Area (Hectares)" dataDxfId="430"/>
    <tableColumn id="12" xr3:uid="{00000000-0010-0000-0200-00000C000000}" name="2026 Area (Hectares)" dataDxfId="429"/>
    <tableColumn id="13" xr3:uid="{00000000-0010-0000-0200-00000D000000}" name="5 year average 2021 to 2025 (Hectares)" dataDxfId="428"/>
    <tableColumn id="14" xr3:uid="{00000000-0010-0000-0200-00000E000000}" name="% Change 2026 to 5 year average" dataDxfId="427"/>
    <tableColumn id="15" xr3:uid="{00000000-0010-0000-0200-00000F000000}" name="% Change 2026 to 2025" dataDxfId="426"/>
    <tableColumn id="16" xr3:uid="{00000000-0010-0000-0200-000010000000}" name="Notes " dataDxfId="425"/>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6:O39" totalsRowShown="0" headerRowBorderDxfId="424" tableBorderDxfId="423">
  <tableColumns count="15">
    <tableColumn id="1" xr3:uid="{00000000-0010-0000-0300-000001000000}" name="Vegetables and fruits for human consumption" dataDxfId="422"/>
    <tableColumn id="2" xr3:uid="{00000000-0010-0000-0300-000002000000}" name="2016 Area (Hectares)" dataDxfId="421"/>
    <tableColumn id="3" xr3:uid="{00000000-0010-0000-0300-000003000000}" name="2017 Area (Hectares)" dataDxfId="420"/>
    <tableColumn id="4" xr3:uid="{00000000-0010-0000-0300-000004000000}" name="2018 Area (Hectares)" dataDxfId="419"/>
    <tableColumn id="5" xr3:uid="{00000000-0010-0000-0300-000005000000}" name="2019 Area (Hectares)" dataDxfId="418"/>
    <tableColumn id="6" xr3:uid="{00000000-0010-0000-0300-000006000000}" name="2020 Area (Hectares)" dataDxfId="417"/>
    <tableColumn id="7" xr3:uid="{00000000-0010-0000-0300-000007000000}" name="2021 Area (Hectares)" dataDxfId="416"/>
    <tableColumn id="8" xr3:uid="{00000000-0010-0000-0300-000008000000}" name="2022 Area (Hectares)" dataDxfId="415"/>
    <tableColumn id="9" xr3:uid="{00000000-0010-0000-0300-000009000000}" name="2023 Area (Hectares)" dataDxfId="414"/>
    <tableColumn id="10" xr3:uid="{00000000-0010-0000-0300-00000A000000}" name="2024 Area (Hectares)" dataDxfId="413"/>
    <tableColumn id="11" xr3:uid="{00000000-0010-0000-0300-00000B000000}" name="2025 Area (Hectares)" dataDxfId="412"/>
    <tableColumn id="12" xr3:uid="{00000000-0010-0000-0300-00000C000000}" name="2026 Area (Hectares)" dataDxfId="411"/>
    <tableColumn id="13" xr3:uid="{00000000-0010-0000-0300-00000D000000}" name="5 year average 2021 to 2025 (Hectares)" dataDxfId="410"/>
    <tableColumn id="14" xr3:uid="{00000000-0010-0000-0300-00000E000000}" name="% Change 2026 to 5 year average" dataDxfId="409"/>
    <tableColumn id="15" xr3:uid="{00000000-0010-0000-0300-00000F000000}" name="% Change 2026 to 2025" dataDxfId="408"/>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6:O22" totalsRowShown="0" headerRowBorderDxfId="407" tableBorderDxfId="406">
  <tableColumns count="15">
    <tableColumn id="1" xr3:uid="{00000000-0010-0000-0400-000001000000}" name="Cattle by category" dataDxfId="405"/>
    <tableColumn id="2" xr3:uid="{00000000-0010-0000-0400-000002000000}" name="2016 (Number)" dataDxfId="404"/>
    <tableColumn id="3" xr3:uid="{00000000-0010-0000-0400-000003000000}" name="2017 (Number)" dataDxfId="403"/>
    <tableColumn id="4" xr3:uid="{00000000-0010-0000-0400-000004000000}" name="2018 (Number)" dataDxfId="402"/>
    <tableColumn id="5" xr3:uid="{00000000-0010-0000-0400-000005000000}" name="2019 (Number)" dataDxfId="401"/>
    <tableColumn id="6" xr3:uid="{00000000-0010-0000-0400-000006000000}" name="2020 (Number)" dataDxfId="400"/>
    <tableColumn id="7" xr3:uid="{00000000-0010-0000-0400-000007000000}" name="2021 (Number)" dataDxfId="399"/>
    <tableColumn id="8" xr3:uid="{00000000-0010-0000-0400-000008000000}" name="2022 (Number)" dataDxfId="398"/>
    <tableColumn id="9" xr3:uid="{00000000-0010-0000-0400-000009000000}" name="2023 (Number)" dataDxfId="397"/>
    <tableColumn id="10" xr3:uid="{00000000-0010-0000-0400-00000A000000}" name="2024 (Number)" dataDxfId="396"/>
    <tableColumn id="11" xr3:uid="{00000000-0010-0000-0400-00000B000000}" name="2025 (Number)" dataDxfId="395"/>
    <tableColumn id="12" xr3:uid="{00000000-0010-0000-0400-00000C000000}" name="2026 (Number)" dataDxfId="394"/>
    <tableColumn id="13" xr3:uid="{00000000-0010-0000-0400-00000D000000}" name="5 year average 2021 to 2025 (Number)" dataDxfId="393"/>
    <tableColumn id="14" xr3:uid="{00000000-0010-0000-0400-00000E000000}" name="% Change 2026 to 5 year average" dataDxfId="392"/>
    <tableColumn id="15" xr3:uid="{00000000-0010-0000-0400-00000F000000}" name="% Change 2026 to 2025" dataDxfId="391"/>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6:O13" totalsRowShown="0" headerRowBorderDxfId="390" tableBorderDxfId="389">
  <tableColumns count="15">
    <tableColumn id="1" xr3:uid="{00000000-0010-0000-0500-000001000000}" name="Sheep by category" dataDxfId="388"/>
    <tableColumn id="2" xr3:uid="{00000000-0010-0000-0500-000002000000}" name="2016 (Number)" dataDxfId="387"/>
    <tableColumn id="3" xr3:uid="{00000000-0010-0000-0500-000003000000}" name="2017 (Number)" dataDxfId="386"/>
    <tableColumn id="4" xr3:uid="{00000000-0010-0000-0500-000004000000}" name="2018 (Number)" dataDxfId="385"/>
    <tableColumn id="5" xr3:uid="{00000000-0010-0000-0500-000005000000}" name="2019 (Number)" dataDxfId="384"/>
    <tableColumn id="6" xr3:uid="{00000000-0010-0000-0500-000006000000}" name="2020 (Number)" dataDxfId="383"/>
    <tableColumn id="7" xr3:uid="{00000000-0010-0000-0500-000007000000}" name="2021 (Number)" dataDxfId="382"/>
    <tableColumn id="8" xr3:uid="{00000000-0010-0000-0500-000008000000}" name="2022 (Number)" dataDxfId="381"/>
    <tableColumn id="9" xr3:uid="{00000000-0010-0000-0500-000009000000}" name="2023 (Number)" dataDxfId="380"/>
    <tableColumn id="10" xr3:uid="{00000000-0010-0000-0500-00000A000000}" name="2024 (Number)" dataDxfId="379"/>
    <tableColumn id="11" xr3:uid="{00000000-0010-0000-0500-00000B000000}" name="2025 (Number)" dataDxfId="378"/>
    <tableColumn id="12" xr3:uid="{00000000-0010-0000-0500-00000C000000}" name="2026 (Number)" dataDxfId="377"/>
    <tableColumn id="13" xr3:uid="{00000000-0010-0000-0500-00000D000000}" name="5 year average 2021 to 2025 (Number)" dataDxfId="376"/>
    <tableColumn id="14" xr3:uid="{00000000-0010-0000-0500-00000E000000}" name="% Change 2026 to 5 year average" dataDxfId="375"/>
    <tableColumn id="15" xr3:uid="{00000000-0010-0000-0500-00000F000000}" name="% Change 2026 to 2025" dataDxfId="374"/>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6:P19" totalsRowShown="0" headerRowBorderDxfId="373" tableBorderDxfId="372">
  <tableColumns count="16">
    <tableColumn id="1" xr3:uid="{00000000-0010-0000-0600-000001000000}" name="Pigs by category" dataDxfId="371" totalsRowDxfId="370"/>
    <tableColumn id="2" xr3:uid="{00000000-0010-0000-0600-000002000000}" name="2016 (Number)" dataDxfId="369" totalsRowDxfId="368"/>
    <tableColumn id="3" xr3:uid="{00000000-0010-0000-0600-000003000000}" name="2017 (Number)" dataDxfId="367" totalsRowDxfId="366"/>
    <tableColumn id="4" xr3:uid="{00000000-0010-0000-0600-000004000000}" name="2018 (Number)" dataDxfId="365" totalsRowDxfId="364"/>
    <tableColumn id="5" xr3:uid="{00000000-0010-0000-0600-000005000000}" name="2019 (Number)" dataDxfId="363" totalsRowDxfId="362"/>
    <tableColumn id="6" xr3:uid="{00000000-0010-0000-0600-000006000000}" name="2020 (Number)" dataDxfId="361" totalsRowDxfId="360"/>
    <tableColumn id="7" xr3:uid="{00000000-0010-0000-0600-000007000000}" name="2021 (Number)" dataDxfId="359" totalsRowDxfId="358"/>
    <tableColumn id="8" xr3:uid="{00000000-0010-0000-0600-000008000000}" name="2022 (Number)" dataDxfId="357" totalsRowDxfId="356"/>
    <tableColumn id="9" xr3:uid="{00000000-0010-0000-0600-000009000000}" name="2023 (Number)" dataDxfId="355" totalsRowDxfId="354"/>
    <tableColumn id="10" xr3:uid="{00000000-0010-0000-0600-00000A000000}" name="2024 (Number)" dataDxfId="353" totalsRowDxfId="352"/>
    <tableColumn id="11" xr3:uid="{00000000-0010-0000-0600-00000B000000}" name="2025 (Number)" dataDxfId="351" totalsRowDxfId="350"/>
    <tableColumn id="12" xr3:uid="{00000000-0010-0000-0600-00000C000000}" name="2026 (Number)" dataDxfId="349" totalsRowDxfId="348"/>
    <tableColumn id="13" xr3:uid="{00000000-0010-0000-0600-00000D000000}" name="5 year average 2021 to 2025 (Number)" dataDxfId="347" totalsRowDxfId="346"/>
    <tableColumn id="14" xr3:uid="{00000000-0010-0000-0600-00000E000000}" name="% Change 2026 to 5 year average" dataDxfId="345" totalsRowDxfId="344"/>
    <tableColumn id="15" xr3:uid="{00000000-0010-0000-0600-00000F000000}" name="% Change 2026 to 2025" dataDxfId="343" totalsRowDxfId="342"/>
    <tableColumn id="16" xr3:uid="{00000000-0010-0000-0600-000010000000}" name="Notes " dataDxfId="341" totalsRowDxfId="340"/>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6:M16" totalsRowShown="0" headerRowBorderDxfId="339" tableBorderDxfId="338">
  <tableColumns count="13">
    <tableColumn id="1" xr3:uid="{00000000-0010-0000-0700-000001000000}" name="Poultry by category" dataDxfId="337"/>
    <tableColumn id="2" xr3:uid="{00000000-0010-0000-0700-000002000000}" name="2016 (Number)" dataDxfId="336"/>
    <tableColumn id="3" xr3:uid="{00000000-0010-0000-0700-000003000000}" name="2017 (Number)" dataDxfId="335"/>
    <tableColumn id="4" xr3:uid="{00000000-0010-0000-0700-000004000000}" name="2018 (Number)" dataDxfId="334"/>
    <tableColumn id="5" xr3:uid="{00000000-0010-0000-0700-000005000000}" name="2019 (Number)" dataDxfId="333"/>
    <tableColumn id="6" xr3:uid="{00000000-0010-0000-0700-000006000000}" name="2020 (Number)" dataDxfId="332"/>
    <tableColumn id="7" xr3:uid="{00000000-0010-0000-0700-000007000000}" name="2021 (Number)" dataDxfId="331"/>
    <tableColumn id="8" xr3:uid="{00000000-0010-0000-0700-000008000000}" name="2022 (Number)" dataDxfId="330"/>
    <tableColumn id="9" xr3:uid="{00000000-0010-0000-0700-000009000000}" name="2023 (Number)" dataDxfId="329"/>
    <tableColumn id="10" xr3:uid="{00000000-0010-0000-0700-00000A000000}" name="2024 (Number)" dataDxfId="328"/>
    <tableColumn id="11" xr3:uid="{00000000-0010-0000-0700-00000B000000}" name="2025 (Number)" dataDxfId="327"/>
    <tableColumn id="12" xr3:uid="{00000000-0010-0000-0700-00000C000000}" name="2026 (Number)" dataDxfId="326"/>
    <tableColumn id="13" xr3:uid="{00000000-0010-0000-0700-00000D000000}" name="% Change 2026 to 2025" dataDxfId="325"/>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6:P12" totalsRowShown="0" headerRowBorderDxfId="324" tableBorderDxfId="323">
  <tableColumns count="16">
    <tableColumn id="1" xr3:uid="{00000000-0010-0000-0800-000001000000}" name="Livestock by category" dataDxfId="322"/>
    <tableColumn id="2" xr3:uid="{00000000-0010-0000-0800-000002000000}" name="2016 (Number)" dataDxfId="321"/>
    <tableColumn id="3" xr3:uid="{00000000-0010-0000-0800-000003000000}" name="2017 (Number)" dataDxfId="320"/>
    <tableColumn id="4" xr3:uid="{00000000-0010-0000-0800-000004000000}" name="2018 (Number)" dataDxfId="319"/>
    <tableColumn id="5" xr3:uid="{00000000-0010-0000-0800-000005000000}" name="2019 (Number)" dataDxfId="318"/>
    <tableColumn id="6" xr3:uid="{00000000-0010-0000-0800-000006000000}" name="2020 (Number)" dataDxfId="317"/>
    <tableColumn id="7" xr3:uid="{00000000-0010-0000-0800-000007000000}" name="2021 (Number)" dataDxfId="316"/>
    <tableColumn id="8" xr3:uid="{00000000-0010-0000-0800-000008000000}" name="2022 (Number)" dataDxfId="315"/>
    <tableColumn id="9" xr3:uid="{00000000-0010-0000-0800-000009000000}" name="2023 (Number)" dataDxfId="314"/>
    <tableColumn id="10" xr3:uid="{00000000-0010-0000-0800-00000A000000}" name="2024 (Number)" dataDxfId="313"/>
    <tableColumn id="11" xr3:uid="{00000000-0010-0000-0800-00000B000000}" name="2025 (Number)" dataDxfId="312"/>
    <tableColumn id="12" xr3:uid="{00000000-0010-0000-0800-00000C000000}" name="2026 (Number)" dataDxfId="311"/>
    <tableColumn id="13" xr3:uid="{00000000-0010-0000-0800-00000D000000}" name="5 year average 2021 to 2025 (Number)" dataDxfId="310"/>
    <tableColumn id="14" xr3:uid="{00000000-0010-0000-0800-00000E000000}" name="% Change 2026 to 5 year average" dataDxfId="309"/>
    <tableColumn id="15" xr3:uid="{00000000-0010-0000-0800-00000F000000}" name="% Change 2026 to 2025" dataDxfId="308"/>
    <tableColumn id="16" xr3:uid="{00000000-0010-0000-0800-000010000000}" name="Notes " dataDxfId="307"/>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6:P37" totalsRowShown="0" headerRowBorderDxfId="306" tableBorderDxfId="305">
  <tableColumns count="16">
    <tableColumn id="1" xr3:uid="{00000000-0010-0000-0900-000001000000}" name="Occupiers and employees by category" dataDxfId="304"/>
    <tableColumn id="2" xr3:uid="{00000000-0010-0000-0900-000002000000}" name="2016 (Number)" dataDxfId="303"/>
    <tableColumn id="3" xr3:uid="{00000000-0010-0000-0900-000003000000}" name="2017 (Number)" dataDxfId="302"/>
    <tableColumn id="4" xr3:uid="{00000000-0010-0000-0900-000004000000}" name="2018 (Number)" dataDxfId="301"/>
    <tableColumn id="5" xr3:uid="{00000000-0010-0000-0900-000005000000}" name="2019 (Number)" dataDxfId="300"/>
    <tableColumn id="6" xr3:uid="{00000000-0010-0000-0900-000006000000}" name="2020 (Number)" dataDxfId="299"/>
    <tableColumn id="7" xr3:uid="{00000000-0010-0000-0900-000007000000}" name="2021 (Number)" dataDxfId="298"/>
    <tableColumn id="8" xr3:uid="{00000000-0010-0000-0900-000008000000}" name="2022 (Number)" dataDxfId="297"/>
    <tableColumn id="9" xr3:uid="{00000000-0010-0000-0900-000009000000}" name="2023 (Number)" dataDxfId="296"/>
    <tableColumn id="10" xr3:uid="{00000000-0010-0000-0900-00000A000000}" name="2024 (Number)" dataDxfId="295"/>
    <tableColumn id="11" xr3:uid="{00000000-0010-0000-0900-00000B000000}" name="2025 (Number)" dataDxfId="294"/>
    <tableColumn id="12" xr3:uid="{00000000-0010-0000-0900-00000C000000}" name="2026 (Number)" dataDxfId="293"/>
    <tableColumn id="13" xr3:uid="{00000000-0010-0000-0900-00000D000000}" name="5 year average 2021 to 2025 (Number)" dataDxfId="292"/>
    <tableColumn id="14" xr3:uid="{00000000-0010-0000-0900-00000E000000}" name="% Change 2026 to 5 year average" dataDxfId="291"/>
    <tableColumn id="15" xr3:uid="{00000000-0010-0000-0900-00000F000000}" name="% Change 2026 to 2025" dataDxfId="290"/>
    <tableColumn id="16" xr3:uid="{00000000-0010-0000-0900-000010000000}" name="Notes " dataDxfId="289"/>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_25" displayName="table_25" ref="A6:B10" totalsRowShown="0" headerRowDxfId="288" headerRowBorderDxfId="287" tableBorderDxfId="286">
  <tableColumns count="2">
    <tableColumn id="1" xr3:uid="{00000000-0010-0000-1A00-000001000000}" name="Sex" dataDxfId="285"/>
    <tableColumn id="2" xr3:uid="{00000000-0010-0000-1A00-000002000000}" name="Number of occupiers" dataDxfId="284"/>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6:E10" totalsRowShown="0" headerRowBorderDxfId="283" tableBorderDxfId="282">
  <tableColumns count="5">
    <tableColumn id="1" xr3:uid="{00000000-0010-0000-0A00-000001000000}" name="Occupier working time" dataDxfId="281"/>
    <tableColumn id="2" xr3:uid="{00000000-0010-0000-0A00-000002000000}" name="Female (Number)" dataDxfId="280"/>
    <tableColumn id="3" xr3:uid="{00000000-0010-0000-0A00-000003000000}" name="Male (Number)" dataDxfId="279"/>
    <tableColumn id="4" xr3:uid="{00000000-0010-0000-0A00-000004000000}" name="Prefer not to say (Number)" dataDxfId="278"/>
    <tableColumn id="5" xr3:uid="{00000000-0010-0000-0A00-000005000000}" name="Total (Number)" dataDxfId="277"/>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6:O10" totalsRowShown="0" headerRowDxfId="276" dataDxfId="274" headerRowBorderDxfId="275" tableBorderDxfId="273">
  <tableColumns count="15">
    <tableColumn id="1" xr3:uid="{00000000-0010-0000-0B00-000001000000}" name="Occupier working time" dataDxfId="272"/>
    <tableColumn id="2" xr3:uid="{00000000-0010-0000-0B00-000002000000}" name="Female Under 25 (Number)" dataDxfId="271"/>
    <tableColumn id="3" xr3:uid="{00000000-0010-0000-0B00-000003000000}" name="Male Under 25 (Number)" dataDxfId="270"/>
    <tableColumn id="4" xr3:uid="{00000000-0010-0000-0B00-000004000000}" name="Female 25 to 34 (Number)" dataDxfId="269"/>
    <tableColumn id="5" xr3:uid="{00000000-0010-0000-0B00-000005000000}" name="Male 25 to 34 (Number)" dataDxfId="268"/>
    <tableColumn id="6" xr3:uid="{00000000-0010-0000-0B00-000006000000}" name="Female 35 to 44 (Number)" dataDxfId="267"/>
    <tableColumn id="7" xr3:uid="{00000000-0010-0000-0B00-000007000000}" name="Male 35 to 44 (Number)" dataDxfId="266"/>
    <tableColumn id="8" xr3:uid="{00000000-0010-0000-0B00-000008000000}" name="Female 45 to 54 (Number)" dataDxfId="265"/>
    <tableColumn id="9" xr3:uid="{00000000-0010-0000-0B00-000009000000}" name="Male 45 to 54 (Number)" dataDxfId="264"/>
    <tableColumn id="10" xr3:uid="{00000000-0010-0000-0B00-00000A000000}" name="Female 55 to 64 (Number)" dataDxfId="263"/>
    <tableColumn id="11" xr3:uid="{00000000-0010-0000-0B00-00000B000000}" name="Male 55 to 64 (Number)" dataDxfId="262"/>
    <tableColumn id="12" xr3:uid="{00000000-0010-0000-0B00-00000C000000}" name="Female Over 64 (Number)" dataDxfId="261"/>
    <tableColumn id="13" xr3:uid="{00000000-0010-0000-0B00-00000D000000}" name="Male Over 64 (Number)" dataDxfId="260"/>
    <tableColumn id="14" xr3:uid="{00000000-0010-0000-0B00-00000E000000}" name="Female Total (Number)" dataDxfId="259"/>
    <tableColumn id="15" xr3:uid="{00000000-0010-0000-0B00-00000F000000}" name="Male Total (Number)" dataDxfId="258"/>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6:O10" totalsRowShown="0" headerRowBorderDxfId="257" tableBorderDxfId="256">
  <tableColumns count="15">
    <tableColumn id="1" xr3:uid="{00000000-0010-0000-0D00-000001000000}" name="Area owned or rented" dataDxfId="255"/>
    <tableColumn id="2" xr3:uid="{00000000-0010-0000-0D00-000002000000}" name="2016 (Hectares and %)" dataDxfId="254"/>
    <tableColumn id="3" xr3:uid="{00000000-0010-0000-0D00-000003000000}" name="2017 (Hectares and %)" dataDxfId="253"/>
    <tableColumn id="4" xr3:uid="{00000000-0010-0000-0D00-000004000000}" name="2018 (Hectares and %)" dataDxfId="252"/>
    <tableColumn id="5" xr3:uid="{00000000-0010-0000-0D00-000005000000}" name="2019 (Hectares and %)" dataDxfId="251"/>
    <tableColumn id="6" xr3:uid="{00000000-0010-0000-0D00-000006000000}" name="2020 (Hectares and %)" dataDxfId="250"/>
    <tableColumn id="7" xr3:uid="{00000000-0010-0000-0D00-000007000000}" name="2021 (Hectares and %)" dataDxfId="249"/>
    <tableColumn id="8" xr3:uid="{00000000-0010-0000-0D00-000008000000}" name="2022 (Hectares and %)" dataDxfId="248"/>
    <tableColumn id="9" xr3:uid="{00000000-0010-0000-0D00-000009000000}" name="2023 (Hectares and %)" dataDxfId="247"/>
    <tableColumn id="10" xr3:uid="{00000000-0010-0000-0D00-00000A000000}" name="2024 (Hectares and %)" dataDxfId="246"/>
    <tableColumn id="11" xr3:uid="{00000000-0010-0000-0D00-00000B000000}" name="2025 (Hectares and %)" dataDxfId="245"/>
    <tableColumn id="12" xr3:uid="{00000000-0010-0000-0D00-00000C000000}" name="2026 (Hectares and %)" dataDxfId="244"/>
    <tableColumn id="13" xr3:uid="{00000000-0010-0000-0D00-00000D000000}" name="5 year average 2021 to 2025 (Hectares and %)" dataDxfId="243"/>
    <tableColumn id="14" xr3:uid="{00000000-0010-0000-0D00-00000E000000}" name="% Change 2026 to 5 year average" dataDxfId="242"/>
    <tableColumn id="15" xr3:uid="{00000000-0010-0000-0D00-00000F000000}" name="% Change 2026 to 2025" dataDxfId="241"/>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3" displayName="table_13" ref="A6:E18" totalsRowShown="0" headerRowBorderDxfId="240" tableBorderDxfId="239">
  <tableColumns count="5">
    <tableColumn id="1" xr3:uid="{00000000-0010-0000-0E00-000001000000}" name="Main farm type" dataDxfId="238"/>
    <tableColumn id="2" xr3:uid="{00000000-0010-0000-0E00-000002000000}" name="Holdings (Number)" dataDxfId="237"/>
    <tableColumn id="3" xr3:uid="{00000000-0010-0000-0E00-000003000000}" name="Area (Hectares)" dataDxfId="236"/>
    <tableColumn id="4" xr3:uid="{00000000-0010-0000-0E00-000004000000}" name="Total from Standard Outputs (£)" dataDxfId="235"/>
    <tableColumn id="5" xr3:uid="{00000000-0010-0000-0E00-000005000000}" name="Average standard output per holding (£)" dataDxfId="234"/>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4" displayName="table_14" ref="A6:E36" totalsRowShown="0" headerRowBorderDxfId="233" tableBorderDxfId="232">
  <tableColumns count="5">
    <tableColumn id="1" xr3:uid="{00000000-0010-0000-0F00-000001000000}" name="Agricultural land use by category"/>
    <tableColumn id="2" xr3:uid="{00000000-0010-0000-0F00-000002000000}" name="LFA (Hectares)" dataDxfId="231"/>
    <tableColumn id="3" xr3:uid="{00000000-0010-0000-0F00-000003000000}" name="Non-LFA (Hectares)" dataDxfId="230"/>
    <tableColumn id="4" xr3:uid="{00000000-0010-0000-0F00-000004000000}" name="Total (Hectares)" dataDxfId="229"/>
    <tableColumn id="5" xr3:uid="{00000000-0010-0000-0F00-000005000000}" name="Notes "/>
  </tableColumns>
  <tableStyleInfo name="none"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15" displayName="table_15" ref="A6:Q31" totalsRowShown="0" headerRowDxfId="228" dataDxfId="226" headerRowBorderDxfId="227" tableBorderDxfId="225">
  <tableColumns count="17">
    <tableColumn id="1" xr3:uid="{00000000-0010-0000-1000-000001000000}" name="Land use by category" dataDxfId="224"/>
    <tableColumn id="2" xr3:uid="{00000000-0010-0000-1000-000002000000}" name="North West Shetland (Number of holdings)" dataDxfId="223"/>
    <tableColumn id="3" xr3:uid="{00000000-0010-0000-1000-000003000000}" name="North West Orkney (Number of holdings)" dataDxfId="222"/>
    <tableColumn id="4" xr3:uid="{00000000-0010-0000-1000-000004000000}" name="North West Na h-Eileanan Siar (Number of holdings)" dataDxfId="221"/>
    <tableColumn id="5" xr3:uid="{00000000-0010-0000-1000-000005000000}" name="North West Highland (Number of holdings)" dataDxfId="220"/>
    <tableColumn id="6" xr3:uid="{00000000-0010-0000-1000-000006000000}" name="North East Grampian (Number of holdings)" dataDxfId="219"/>
    <tableColumn id="7" xr3:uid="{00000000-0010-0000-1000-000007000000}" name="South East Tayside (Number of holdings)" dataDxfId="218"/>
    <tableColumn id="8" xr3:uid="{00000000-0010-0000-1000-000008000000}" name="South East Fife (Number of holdings)" dataDxfId="217"/>
    <tableColumn id="9" xr3:uid="{00000000-0010-0000-1000-000009000000}" name="South East Lothian (Number of holdings)" dataDxfId="216"/>
    <tableColumn id="10" xr3:uid="{00000000-0010-0000-1000-00000A000000}" name="South East Scottish Borders (Number of holdings)" dataDxfId="215"/>
    <tableColumn id="11" xr3:uid="{00000000-0010-0000-1000-00000B000000}" name="South West East Central (Number of holdings)" dataDxfId="214"/>
    <tableColumn id="12" xr3:uid="{00000000-0010-0000-1000-00000C000000}" name="South West Argyll &amp; Bute (Number of holdings)" dataDxfId="213"/>
    <tableColumn id="13" xr3:uid="{00000000-0010-0000-1000-00000D000000}" name="South West Clyde Valley (Number of holdings)" dataDxfId="212"/>
    <tableColumn id="14" xr3:uid="{00000000-0010-0000-1000-00000E000000}" name="South West Ayrshire (Number of holdings)" dataDxfId="211"/>
    <tableColumn id="15" xr3:uid="{00000000-0010-0000-1000-00000F000000}" name="South West Dumfries &amp; Galloway (Number of holdings)" dataDxfId="210"/>
    <tableColumn id="16" xr3:uid="{00000000-0010-0000-1000-000010000000}" name="Scotland total (Number of holdings)" dataDxfId="209"/>
    <tableColumn id="17" xr3:uid="{00000000-0010-0000-1000-000011000000}" name="Notes " dataDxfId="208"/>
  </tableColumns>
  <tableStyleInfo name="none"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16" displayName="table_16" ref="A6:Q32" totalsRowShown="0" headerRowBorderDxfId="207" tableBorderDxfId="206">
  <tableColumns count="17">
    <tableColumn id="1" xr3:uid="{00000000-0010-0000-1100-000001000000}" name="Land use by category" dataDxfId="205"/>
    <tableColumn id="2" xr3:uid="{00000000-0010-0000-1100-000002000000}" name="North West Shetland (Hectares)" dataDxfId="204"/>
    <tableColumn id="3" xr3:uid="{00000000-0010-0000-1100-000003000000}" name="North West Orkney (Hectares)" dataDxfId="203"/>
    <tableColumn id="4" xr3:uid="{00000000-0010-0000-1100-000004000000}" name="North West Na h-Eileanan Siar (Hectares)" dataDxfId="202"/>
    <tableColumn id="5" xr3:uid="{00000000-0010-0000-1100-000005000000}" name="North West Highland (Hectares)" dataDxfId="201"/>
    <tableColumn id="6" xr3:uid="{00000000-0010-0000-1100-000006000000}" name="North East Grampian (Hectares)" dataDxfId="200"/>
    <tableColumn id="7" xr3:uid="{00000000-0010-0000-1100-000007000000}" name="South East Tayside (Hectares)" dataDxfId="199"/>
    <tableColumn id="8" xr3:uid="{00000000-0010-0000-1100-000008000000}" name="South East Fife (Hectares)" dataDxfId="198"/>
    <tableColumn id="9" xr3:uid="{00000000-0010-0000-1100-000009000000}" name="South East Lothian (Hectares)" dataDxfId="197"/>
    <tableColumn id="10" xr3:uid="{00000000-0010-0000-1100-00000A000000}" name="South East Scottish Borders (Hectares)" dataDxfId="196"/>
    <tableColumn id="11" xr3:uid="{00000000-0010-0000-1100-00000B000000}" name="South West East Central (Hectares)" dataDxfId="195"/>
    <tableColumn id="12" xr3:uid="{00000000-0010-0000-1100-00000C000000}" name="South West Argyll &amp; Bute (Hectares)" dataDxfId="194"/>
    <tableColumn id="13" xr3:uid="{00000000-0010-0000-1100-00000D000000}" name="South West Clyde Valley (Hectares)" dataDxfId="193"/>
    <tableColumn id="14" xr3:uid="{00000000-0010-0000-1100-00000E000000}" name="South West Ayrshire (Hectares)" dataDxfId="192"/>
    <tableColumn id="15" xr3:uid="{00000000-0010-0000-1100-00000F000000}" name="South West Dumfries &amp; Galloway (Hectares)" dataDxfId="191"/>
    <tableColumn id="16" xr3:uid="{00000000-0010-0000-1100-000010000000}" name="Scotland total (Hectares)" dataDxfId="190"/>
    <tableColumn id="17" xr3:uid="{00000000-0010-0000-1100-000011000000}" name="Notes "/>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_17" displayName="table_17" ref="A6:Q42" totalsRowShown="0" headerRowBorderDxfId="189" tableBorderDxfId="188">
  <tableColumns count="17">
    <tableColumn id="1" xr3:uid="{00000000-0010-0000-1200-000001000000}" name="Livestock by category" dataDxfId="187"/>
    <tableColumn id="2" xr3:uid="{00000000-0010-0000-1200-000002000000}" name="North West Shetland (Number of holdings)" dataDxfId="186"/>
    <tableColumn id="3" xr3:uid="{00000000-0010-0000-1200-000003000000}" name="North West Orkney (Number of holdings)" dataDxfId="185"/>
    <tableColumn id="4" xr3:uid="{00000000-0010-0000-1200-000004000000}" name="North West Na h-Eileanan Siar (Number of holdings)" dataDxfId="184"/>
    <tableColumn id="5" xr3:uid="{00000000-0010-0000-1200-000005000000}" name="North West Highland (Number of holdings)" dataDxfId="183"/>
    <tableColumn id="6" xr3:uid="{00000000-0010-0000-1200-000006000000}" name="North East Grampian (Number of holdings)" dataDxfId="182"/>
    <tableColumn id="7" xr3:uid="{00000000-0010-0000-1200-000007000000}" name="South East Tayside (Number of holdings)" dataDxfId="181"/>
    <tableColumn id="8" xr3:uid="{00000000-0010-0000-1200-000008000000}" name="South East Fife (Number of holdings)" dataDxfId="180"/>
    <tableColumn id="9" xr3:uid="{00000000-0010-0000-1200-000009000000}" name="South East Lothian (Number of holdings)" dataDxfId="179"/>
    <tableColumn id="10" xr3:uid="{00000000-0010-0000-1200-00000A000000}" name="South East Scottish Borders (Number of holdings)" dataDxfId="178"/>
    <tableColumn id="11" xr3:uid="{00000000-0010-0000-1200-00000B000000}" name="South West East Central (Number of holdings)" dataDxfId="177"/>
    <tableColumn id="12" xr3:uid="{00000000-0010-0000-1200-00000C000000}" name="South West Argyll &amp; Bute (Number of holdings)" dataDxfId="176"/>
    <tableColumn id="13" xr3:uid="{00000000-0010-0000-1200-00000D000000}" name="South West Clyde Valley (Number of holdings)" dataDxfId="175"/>
    <tableColumn id="14" xr3:uid="{00000000-0010-0000-1200-00000E000000}" name="South West Ayrshire (Number of holdings)" dataDxfId="174"/>
    <tableColumn id="15" xr3:uid="{00000000-0010-0000-1200-00000F000000}" name="South West Dumfries &amp; Galloway (Number of holdings)" dataDxfId="173"/>
    <tableColumn id="16" xr3:uid="{00000000-0010-0000-1200-000010000000}" name="Scotland total (Number of holdings)" dataDxfId="172"/>
    <tableColumn id="17" xr3:uid="{00000000-0010-0000-1200-000011000000}" name="Notes "/>
  </tableColumns>
  <tableStyleInfo name="none"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18" displayName="table_18" ref="A6:Q41" totalsRowShown="0" headerRowBorderDxfId="171" tableBorderDxfId="170">
  <tableColumns count="17">
    <tableColumn id="1" xr3:uid="{00000000-0010-0000-1300-000001000000}" name="Livestock by category" dataDxfId="169"/>
    <tableColumn id="2" xr3:uid="{00000000-0010-0000-1300-000002000000}" name="North West Shetland (Number)" dataDxfId="168"/>
    <tableColumn id="3" xr3:uid="{00000000-0010-0000-1300-000003000000}" name="North West Orkney (Number)" dataDxfId="167"/>
    <tableColumn id="4" xr3:uid="{00000000-0010-0000-1300-000004000000}" name="North West Na h-Eileanan Siar (Number)" dataDxfId="166"/>
    <tableColumn id="5" xr3:uid="{00000000-0010-0000-1300-000005000000}" name="North West Highland (Number)" dataDxfId="165"/>
    <tableColumn id="6" xr3:uid="{00000000-0010-0000-1300-000006000000}" name="North East Grampian (Number)" dataDxfId="164"/>
    <tableColumn id="7" xr3:uid="{00000000-0010-0000-1300-000007000000}" name="South East Tayside (Number)" dataDxfId="163"/>
    <tableColumn id="8" xr3:uid="{00000000-0010-0000-1300-000008000000}" name="South East Fife (Number)" dataDxfId="162"/>
    <tableColumn id="9" xr3:uid="{00000000-0010-0000-1300-000009000000}" name="South East Lothian (Number)" dataDxfId="161"/>
    <tableColumn id="10" xr3:uid="{00000000-0010-0000-1300-00000A000000}" name="South East Scottish Borders (Number)" dataDxfId="160"/>
    <tableColumn id="11" xr3:uid="{00000000-0010-0000-1300-00000B000000}" name="South West East Central (Number)" dataDxfId="159"/>
    <tableColumn id="12" xr3:uid="{00000000-0010-0000-1300-00000C000000}" name="South West Argyll &amp; Bute (Number)" dataDxfId="158"/>
    <tableColumn id="13" xr3:uid="{00000000-0010-0000-1300-00000D000000}" name="South West Clyde Valley (Number)" dataDxfId="157"/>
    <tableColumn id="14" xr3:uid="{00000000-0010-0000-1300-00000E000000}" name="South West Ayrshire (Number)" dataDxfId="156"/>
    <tableColumn id="15" xr3:uid="{00000000-0010-0000-1300-00000F000000}" name="South West Dumfries &amp; Galloway (Number)" dataDxfId="155"/>
    <tableColumn id="16" xr3:uid="{00000000-0010-0000-1300-000010000000}" name="Scotland total (Number)" dataDxfId="154"/>
    <tableColumn id="17" xr3:uid="{00000000-0010-0000-1300-000011000000}" name="Notes "/>
  </tableColumns>
  <tableStyleInfo name="none"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_19" displayName="table_19" ref="A6:P31" totalsRowShown="0" headerRowBorderDxfId="153" tableBorderDxfId="152">
  <tableColumns count="16">
    <tableColumn id="1" xr3:uid="{00000000-0010-0000-1400-000001000000}" name="Occupiers and employees by category" dataDxfId="151"/>
    <tableColumn id="2" xr3:uid="{00000000-0010-0000-1400-000002000000}" name="North West Shetland (Number of holdings)" dataDxfId="150"/>
    <tableColumn id="3" xr3:uid="{00000000-0010-0000-1400-000003000000}" name="North West Orkney (Number of holdings)" dataDxfId="149"/>
    <tableColumn id="4" xr3:uid="{00000000-0010-0000-1400-000004000000}" name="North West Na h-Eileanan Siar (Number of holdings)" dataDxfId="148"/>
    <tableColumn id="5" xr3:uid="{00000000-0010-0000-1400-000005000000}" name="North West Highland (Number of holdings)" dataDxfId="147"/>
    <tableColumn id="6" xr3:uid="{00000000-0010-0000-1400-000006000000}" name="North East Grampian (Number of holdings)" dataDxfId="146"/>
    <tableColumn id="7" xr3:uid="{00000000-0010-0000-1400-000007000000}" name="South East Tayside (Number of holdings)" dataDxfId="145"/>
    <tableColumn id="8" xr3:uid="{00000000-0010-0000-1400-000008000000}" name="South East Fife (Number of holdings)" dataDxfId="144"/>
    <tableColumn id="9" xr3:uid="{00000000-0010-0000-1400-000009000000}" name="South East Lothian (Number of holdings)" dataDxfId="143"/>
    <tableColumn id="10" xr3:uid="{00000000-0010-0000-1400-00000A000000}" name="South East Scottish Borders (Number of holdings)" dataDxfId="142"/>
    <tableColumn id="11" xr3:uid="{00000000-0010-0000-1400-00000B000000}" name="South West East Central (Number of holdings)" dataDxfId="141"/>
    <tableColumn id="12" xr3:uid="{00000000-0010-0000-1400-00000C000000}" name="South West Argyll &amp; Bute (Number of holdings)" dataDxfId="140"/>
    <tableColumn id="13" xr3:uid="{00000000-0010-0000-1400-00000D000000}" name="South West Clyde Valley (Number of holdings)" dataDxfId="139"/>
    <tableColumn id="14" xr3:uid="{00000000-0010-0000-1400-00000E000000}" name="South West Ayrshire (Number of holdings)" dataDxfId="138"/>
    <tableColumn id="15" xr3:uid="{00000000-0010-0000-1400-00000F000000}" name="South West Dumfries &amp; Galloway (Number of holdings)" dataDxfId="137"/>
    <tableColumn id="16" xr3:uid="{00000000-0010-0000-1400-000010000000}" name="Scotland total (Number of holdings)" dataDxfId="136"/>
  </tableColumns>
  <tableStyleInfo name="none"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_20" displayName="table_20" ref="A6:P30" totalsRowShown="0" headerRowBorderDxfId="135" tableBorderDxfId="134">
  <tableColumns count="16">
    <tableColumn id="1" xr3:uid="{00000000-0010-0000-1500-000001000000}" name="Occupiers and employees by category" dataDxfId="133" totalsRowDxfId="132"/>
    <tableColumn id="2" xr3:uid="{00000000-0010-0000-1500-000002000000}" name="North West Shetland (Number)" dataDxfId="131" totalsRowDxfId="130"/>
    <tableColumn id="3" xr3:uid="{00000000-0010-0000-1500-000003000000}" name="North West Orkney (Number)" dataDxfId="129" totalsRowDxfId="128"/>
    <tableColumn id="4" xr3:uid="{00000000-0010-0000-1500-000004000000}" name="North West Na h-Eileanan Siar (Number)" dataDxfId="127" totalsRowDxfId="126"/>
    <tableColumn id="5" xr3:uid="{00000000-0010-0000-1500-000005000000}" name="North West Highland (Number)" dataDxfId="125" totalsRowDxfId="124"/>
    <tableColumn id="6" xr3:uid="{00000000-0010-0000-1500-000006000000}" name="North East Grampian (Number)" dataDxfId="123" totalsRowDxfId="122"/>
    <tableColumn id="7" xr3:uid="{00000000-0010-0000-1500-000007000000}" name="South East Tayside (Number)" dataDxfId="121" totalsRowDxfId="120"/>
    <tableColumn id="8" xr3:uid="{00000000-0010-0000-1500-000008000000}" name="South East Fife (Number)" dataDxfId="119" totalsRowDxfId="118"/>
    <tableColumn id="9" xr3:uid="{00000000-0010-0000-1500-000009000000}" name="South East Lothian (Number)" dataDxfId="117" totalsRowDxfId="116"/>
    <tableColumn id="10" xr3:uid="{00000000-0010-0000-1500-00000A000000}" name="South East Scottish Borders (Number)" dataDxfId="115" totalsRowDxfId="114"/>
    <tableColumn id="11" xr3:uid="{00000000-0010-0000-1500-00000B000000}" name="South West East Central (Number)" dataDxfId="113" totalsRowDxfId="112"/>
    <tableColumn id="12" xr3:uid="{00000000-0010-0000-1500-00000C000000}" name="South West Argyll &amp; Bute (Number)" dataDxfId="111" totalsRowDxfId="110"/>
    <tableColumn id="13" xr3:uid="{00000000-0010-0000-1500-00000D000000}" name="South West Clyde Valley (Number)" dataDxfId="109" totalsRowDxfId="108"/>
    <tableColumn id="14" xr3:uid="{00000000-0010-0000-1500-00000E000000}" name="South West Ayrshire (Number)" dataDxfId="107" totalsRowDxfId="106"/>
    <tableColumn id="15" xr3:uid="{00000000-0010-0000-1500-00000F000000}" name="South West Dumfries &amp; Galloway (Number)" dataDxfId="105" totalsRowDxfId="104"/>
    <tableColumn id="16" xr3:uid="{00000000-0010-0000-1500-000010000000}" name="Scotland total (Number)" dataDxfId="103" totalsRowDxfId="102"/>
  </tableColumns>
  <tableStyleInfo name="none"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_21" displayName="table_21" ref="A6:P18" totalsRowShown="0" headerRowBorderDxfId="101" tableBorderDxfId="100">
  <tableColumns count="16">
    <tableColumn id="1" xr3:uid="{00000000-0010-0000-1600-000001000000}" name="Main farm type" dataDxfId="99"/>
    <tableColumn id="17" xr3:uid="{1013BC2B-F0E9-4A34-97D6-CE2DEF145542}" name="North West Shetland (Number of holdings)" dataDxfId="98"/>
    <tableColumn id="2" xr3:uid="{00000000-0010-0000-1600-000002000000}" name="North West Orkney (Number of holdings)" dataDxfId="97"/>
    <tableColumn id="3" xr3:uid="{00000000-0010-0000-1600-000003000000}" name="North West Na h-Eileanan Siar (Number of holdings)" dataDxfId="96"/>
    <tableColumn id="4" xr3:uid="{00000000-0010-0000-1600-000004000000}" name="North West Highland (Number of holdings)" dataDxfId="95"/>
    <tableColumn id="5" xr3:uid="{00000000-0010-0000-1600-000005000000}" name="North East Grampian (Number of holdings)" dataDxfId="94"/>
    <tableColumn id="6" xr3:uid="{00000000-0010-0000-1600-000006000000}" name="South East Tayside (Number of holdings)" dataDxfId="93"/>
    <tableColumn id="7" xr3:uid="{00000000-0010-0000-1600-000007000000}" name="South East Fife (Number of holdings)" dataDxfId="92"/>
    <tableColumn id="8" xr3:uid="{00000000-0010-0000-1600-000008000000}" name="South East Lothian (Number of holdings)" dataDxfId="91"/>
    <tableColumn id="9" xr3:uid="{00000000-0010-0000-1600-000009000000}" name="South East Scottish Borders (Number of holdings)" dataDxfId="90"/>
    <tableColumn id="10" xr3:uid="{00000000-0010-0000-1600-00000A000000}" name="South West East Central (Number of holdings)" dataDxfId="89"/>
    <tableColumn id="11" xr3:uid="{00000000-0010-0000-1600-00000B000000}" name="South West Argyll &amp; Bute (Number of holdings)" dataDxfId="88"/>
    <tableColumn id="12" xr3:uid="{00000000-0010-0000-1600-00000C000000}" name="South West Clyde Valley (Number of holdings)" dataDxfId="87"/>
    <tableColumn id="13" xr3:uid="{00000000-0010-0000-1600-00000D000000}" name="South West Ayrshire (Number of holdings)" dataDxfId="86"/>
    <tableColumn id="14" xr3:uid="{00000000-0010-0000-1600-00000E000000}" name="South West Dumfries &amp; Galloway (Number of holdings)" dataDxfId="85"/>
    <tableColumn id="16" xr3:uid="{00000000-0010-0000-1600-000010000000}" name="Scotland Total (Number of holdings)" dataDxfId="84"/>
  </tableColumns>
  <tableStyleInfo name="none"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_22" displayName="table_22" ref="A6:P18" totalsRowShown="0" headerRowBorderDxfId="83" tableBorderDxfId="82">
  <tableColumns count="16">
    <tableColumn id="1" xr3:uid="{00000000-0010-0000-1700-000001000000}" name="Main farm type" dataDxfId="81"/>
    <tableColumn id="17" xr3:uid="{894F24A8-9A78-4997-B1AC-F82EFAC15BE5}" name="North West Shetland (Hectares)" dataDxfId="80"/>
    <tableColumn id="2" xr3:uid="{00000000-0010-0000-1700-000002000000}" name="North West Orkney (Hectares)" dataDxfId="79"/>
    <tableColumn id="3" xr3:uid="{00000000-0010-0000-1700-000003000000}" name="North West Na h-Eileanan Siar (Hectares)" dataDxfId="78"/>
    <tableColumn id="4" xr3:uid="{00000000-0010-0000-1700-000004000000}" name="North West Highland (Hectares)" dataDxfId="77"/>
    <tableColumn id="5" xr3:uid="{00000000-0010-0000-1700-000005000000}" name="North East Grampian (Hectares)" dataDxfId="76"/>
    <tableColumn id="6" xr3:uid="{00000000-0010-0000-1700-000006000000}" name="South East Tayside (Hectares)" dataDxfId="75"/>
    <tableColumn id="7" xr3:uid="{00000000-0010-0000-1700-000007000000}" name="South East Fife (Hectares)" dataDxfId="74"/>
    <tableColumn id="8" xr3:uid="{00000000-0010-0000-1700-000008000000}" name="South East Lothian (Hectares)" dataDxfId="73"/>
    <tableColumn id="9" xr3:uid="{00000000-0010-0000-1700-000009000000}" name="South East Scottish Borders (Hectares)" dataDxfId="72"/>
    <tableColumn id="10" xr3:uid="{00000000-0010-0000-1700-00000A000000}" name="South West East Central (Hectares)" dataDxfId="71"/>
    <tableColumn id="11" xr3:uid="{00000000-0010-0000-1700-00000B000000}" name="South West Argyll &amp; Bute (Hectares)" dataDxfId="70"/>
    <tableColumn id="12" xr3:uid="{00000000-0010-0000-1700-00000C000000}" name="South West Clyde Valley (Hectares)" dataDxfId="69"/>
    <tableColumn id="13" xr3:uid="{00000000-0010-0000-1700-00000D000000}" name="South West Ayrshire (Hectares)" dataDxfId="68"/>
    <tableColumn id="14" xr3:uid="{00000000-0010-0000-1700-00000E000000}" name="South West Dumfries &amp; Galloway (Hectares)" dataDxfId="67"/>
    <tableColumn id="16" xr3:uid="{00000000-0010-0000-1700-000010000000}" name="Scotland Total (Hectares)" dataDxfId="66"/>
  </tableColumns>
  <tableStyleInfo name="none"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_23" displayName="table_23" ref="A6:J18" totalsRowShown="0" headerRowBorderDxfId="65" tableBorderDxfId="64">
  <tableColumns count="10">
    <tableColumn id="1" xr3:uid="{00000000-0010-0000-1800-000001000000}" name="Main farm type" dataDxfId="63"/>
    <tableColumn id="2" xr3:uid="{00000000-0010-0000-1800-000002000000}" name="0 to &lt;2 hectares (Number of holdings)" dataDxfId="62"/>
    <tableColumn id="3" xr3:uid="{00000000-0010-0000-1800-000003000000}" name="2 to &lt;5 hectares (Number of holdings)" dataDxfId="61"/>
    <tableColumn id="4" xr3:uid="{00000000-0010-0000-1800-000004000000}" name="5 to &lt;10 hectares (Number of holdings)" dataDxfId="60"/>
    <tableColumn id="5" xr3:uid="{00000000-0010-0000-1800-000005000000}" name="10 to &lt;20 hectares (Number of holdings)" dataDxfId="59"/>
    <tableColumn id="6" xr3:uid="{00000000-0010-0000-1800-000006000000}" name="20 to &lt;50 hectares (Number of holdings)" dataDxfId="58"/>
    <tableColumn id="7" xr3:uid="{00000000-0010-0000-1800-000007000000}" name="50 to &lt;100 hectares (Number of holdings)" dataDxfId="57"/>
    <tableColumn id="8" xr3:uid="{00000000-0010-0000-1800-000008000000}" name="100 to &lt;200 hectares (Number of holdings)" dataDxfId="56"/>
    <tableColumn id="9" xr3:uid="{00000000-0010-0000-1800-000009000000}" name="200 hectares and over (Number of holdings)" dataDxfId="55"/>
    <tableColumn id="10" xr3:uid="{00000000-0010-0000-1800-00000A000000}" name="Total (Number of holdings)" dataDxfId="54"/>
  </tableColumns>
  <tableStyleInfo name="none"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_24" displayName="table_24" ref="A6:J18" totalsRowShown="0" headerRowBorderDxfId="53" tableBorderDxfId="52">
  <tableColumns count="10">
    <tableColumn id="1" xr3:uid="{00000000-0010-0000-1900-000001000000}" name="Main farm type" dataDxfId="51"/>
    <tableColumn id="2" xr3:uid="{00000000-0010-0000-1900-000002000000}" name="0 to &lt;2 hectares (Hectares)" dataDxfId="50"/>
    <tableColumn id="3" xr3:uid="{00000000-0010-0000-1900-000003000000}" name="2 to &lt;5 hectares (Hectares)" dataDxfId="49"/>
    <tableColumn id="4" xr3:uid="{00000000-0010-0000-1900-000004000000}" name="5 to &lt;10 hectares (Hectares)" dataDxfId="48"/>
    <tableColumn id="5" xr3:uid="{00000000-0010-0000-1900-000005000000}" name="10 to &lt;20 hectares (Hectares)" dataDxfId="47"/>
    <tableColumn id="6" xr3:uid="{00000000-0010-0000-1900-000006000000}" name="20 to &lt;50 hectares (Hectares)" dataDxfId="46"/>
    <tableColumn id="7" xr3:uid="{00000000-0010-0000-1900-000007000000}" name="50 to &lt;100 hectares (Hectares)" dataDxfId="45"/>
    <tableColumn id="8" xr3:uid="{00000000-0010-0000-1900-000008000000}" name="100 to &lt;200 hectares (Hectares)" dataDxfId="44"/>
    <tableColumn id="9" xr3:uid="{00000000-0010-0000-1900-000009000000}" name="200 hectares and over (Hectares)" dataDxfId="43"/>
    <tableColumn id="10" xr3:uid="{00000000-0010-0000-1900-00000A000000}" name="Total (Hectares)" dataDxfId="42"/>
  </tableColumns>
  <tableStyleInfo name="none"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_26" displayName="table_26" ref="A6:L14" totalsRowShown="0" headerRowBorderDxfId="41" tableBorderDxfId="40">
  <tableColumns count="12">
    <tableColumn id="1" xr3:uid="{00000000-0010-0000-1B00-000001000000}" name="Cattle type" dataDxfId="39"/>
    <tableColumn id="2" xr3:uid="{00000000-0010-0000-1B00-000002000000}" name="2016 average herd size per holding (Number)" dataDxfId="38"/>
    <tableColumn id="3" xr3:uid="{00000000-0010-0000-1B00-000003000000}" name="2017 average herd size per holding (Number)" dataDxfId="37"/>
    <tableColumn id="4" xr3:uid="{00000000-0010-0000-1B00-000004000000}" name="2018 average herd size per holding (Number)" dataDxfId="36"/>
    <tableColumn id="5" xr3:uid="{00000000-0010-0000-1B00-000005000000}" name="2019 average herd size per holding (Number)" dataDxfId="35"/>
    <tableColumn id="6" xr3:uid="{00000000-0010-0000-1B00-000006000000}" name="2020 average herd size per holding (Number)" dataDxfId="34"/>
    <tableColumn id="7" xr3:uid="{00000000-0010-0000-1B00-000007000000}" name="2021 average herd size per holding (Number)" dataDxfId="33"/>
    <tableColumn id="8" xr3:uid="{00000000-0010-0000-1B00-000008000000}" name="2022 average herd size per holding (Number)" dataDxfId="32"/>
    <tableColumn id="9" xr3:uid="{00000000-0010-0000-1B00-000009000000}" name="2023 average herd size per holding (Number)" dataDxfId="31"/>
    <tableColumn id="10" xr3:uid="{00000000-0010-0000-1B00-00000A000000}" name="2024 average herd size per holding (Number)" dataDxfId="30"/>
    <tableColumn id="11" xr3:uid="{00000000-0010-0000-1B00-00000B000000}" name="2025 average herd size per holding (Number)" dataDxfId="29"/>
    <tableColumn id="12" xr3:uid="{00000000-0010-0000-1B00-00000C000000}" name="2026 average herd size per holding (Number)" dataDxfId="28"/>
  </tableColumns>
  <tableStyleInfo name="none"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_27" displayName="table_27" ref="A6:L15" totalsRowShown="0" headerRowBorderDxfId="27" tableBorderDxfId="26">
  <tableColumns count="12">
    <tableColumn id="1" xr3:uid="{00000000-0010-0000-1C00-000001000000}" name="Cattle herd size" dataDxfId="25"/>
    <tableColumn id="2" xr3:uid="{00000000-0010-0000-1C00-000002000000}" name="2016 (Number of holdings)" dataDxfId="24"/>
    <tableColumn id="3" xr3:uid="{00000000-0010-0000-1C00-000003000000}" name="2017 (Number of holdings)" dataDxfId="23"/>
    <tableColumn id="4" xr3:uid="{00000000-0010-0000-1C00-000004000000}" name="2018 (Number of holdings)" dataDxfId="22"/>
    <tableColumn id="5" xr3:uid="{00000000-0010-0000-1C00-000005000000}" name="2019 (Number of holdings)" dataDxfId="21"/>
    <tableColumn id="6" xr3:uid="{00000000-0010-0000-1C00-000006000000}" name="2020 (Number of holdings)" dataDxfId="20"/>
    <tableColumn id="7" xr3:uid="{00000000-0010-0000-1C00-000007000000}" name="2021 (Number of holdings)" dataDxfId="19"/>
    <tableColumn id="8" xr3:uid="{00000000-0010-0000-1C00-000008000000}" name="2022 (Number of holdings)" dataDxfId="18"/>
    <tableColumn id="9" xr3:uid="{00000000-0010-0000-1C00-000009000000}" name="2023 (Number of holdings)" dataDxfId="17"/>
    <tableColumn id="10" xr3:uid="{00000000-0010-0000-1C00-00000A000000}" name="2024 (Number of holdings)" dataDxfId="16"/>
    <tableColumn id="11" xr3:uid="{00000000-0010-0000-1C00-00000B000000}" name="2025 (Number of holdings)" dataDxfId="15"/>
    <tableColumn id="12" xr3:uid="{00000000-0010-0000-1C00-00000C000000}" name="2026 (Number of holdings)" dataDxfId="14"/>
  </tableColumns>
  <tableStyleInfo name="none"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_28" displayName="table_28" ref="A6:L15" totalsRowShown="0" headerRowBorderDxfId="13" tableBorderDxfId="12">
  <tableColumns count="12">
    <tableColumn id="1" xr3:uid="{00000000-0010-0000-1D00-000001000000}" name="Cattle herd size" dataDxfId="11"/>
    <tableColumn id="2" xr3:uid="{00000000-0010-0000-1D00-000002000000}" name="2016 (Number of holdings)" dataDxfId="10"/>
    <tableColumn id="3" xr3:uid="{00000000-0010-0000-1D00-000003000000}" name="2017 (Number of holdings)" dataDxfId="9"/>
    <tableColumn id="4" xr3:uid="{00000000-0010-0000-1D00-000004000000}" name="2018 (Number of holdings)" dataDxfId="8"/>
    <tableColumn id="5" xr3:uid="{00000000-0010-0000-1D00-000005000000}" name="2019 (Number of holdings)" dataDxfId="7"/>
    <tableColumn id="6" xr3:uid="{00000000-0010-0000-1D00-000006000000}" name="2020 (Number of holdings)" dataDxfId="6"/>
    <tableColumn id="7" xr3:uid="{00000000-0010-0000-1D00-000007000000}" name="2021 (Number of holdings)" dataDxfId="5"/>
    <tableColumn id="8" xr3:uid="{00000000-0010-0000-1D00-000008000000}" name="2022 (Number of holdings)" dataDxfId="4"/>
    <tableColumn id="9" xr3:uid="{00000000-0010-0000-1D00-000009000000}" name="2023 (Number of holdings)" dataDxfId="3"/>
    <tableColumn id="10" xr3:uid="{00000000-0010-0000-1D00-00000A000000}" name="2024 (Number of holdings)" dataDxfId="2"/>
    <tableColumn id="11" xr3:uid="{00000000-0010-0000-1D00-00000B000000}" name="2025 (Number of holdings)" dataDxfId="1"/>
    <tableColumn id="12" xr3:uid="{00000000-0010-0000-1D00-00000C000000}" name="2026 (Number of holdings)" dataDxfId="0"/>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8" dT="2026-09-23T13:20:13.68" personId="{73BC6C5F-A889-47DA-8B90-E3014697531F}" id="{4A6AB9E5-5746-4A9E-B760-7D38053DC52C}">
    <text>Can a cell with fewer holdings be suppressed instead? E.g. 6 holdings in orkney</text>
  </threadedComment>
  <threadedComment ref="I18" dT="2026-09-25T12:57:43.13" personId="{FA451013-F598-4897-BE68-3C5E739FCA38}" id="{E33C45D6-F387-420D-8323-C82D5E2825A9}" parentId="{4A6AB9E5-5746-4A9E-B760-7D38053DC52C}">
    <text xml:space="preserve">Table 16 equivalent needs to be suppressed for SE Lothian, not sure if we wanted to suppress num holdings too </text>
  </threadedComment>
  <threadedComment ref="D29" dT="2026-09-25T09:02:42.39" personId="{73BC6C5F-A889-47DA-8B90-E3014697531F}" id="{14ADF586-F508-4940-9C5F-53D87FE2FDB0}">
    <text>Needs reviewed after combining woodland and other land</text>
  </threadedComment>
</ThreadedComments>
</file>

<file path=xl/threadedComments/threadedComment2.xml><?xml version="1.0" encoding="utf-8"?>
<ThreadedComments xmlns="http://schemas.microsoft.com/office/spreadsheetml/2018/threadedcomments" xmlns:x="http://schemas.openxmlformats.org/spreadsheetml/2006/main">
  <threadedComment ref="K14" dT="2026-09-23T13:37:05.21" personId="{73BC6C5F-A889-47DA-8B90-E3014697531F}" id="{070A6ECD-2243-4F8F-B36A-EAF3869DB326}">
    <text>Unclassified instead of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al-data-sets/structure-of-the-agricultural-industry-in-england-and-the-uk-at-june" TargetMode="External"/><Relationship Id="rId2" Type="http://schemas.openxmlformats.org/officeDocument/2006/relationships/hyperlink" Target="https://www.gov.scot/publications/results-from-the-scottish-agricultural-census-june-2026/" TargetMode="External"/><Relationship Id="rId1" Type="http://schemas.openxmlformats.org/officeDocument/2006/relationships/hyperlink" Target="mailto:agric.stats@gov.scot" TargetMode="External"/><Relationship Id="rId5" Type="http://schemas.openxmlformats.org/officeDocument/2006/relationships/hyperlink" Target="https://www.daera-ni.gov.uk/articles/agricultural-census-northern-ireland" TargetMode="External"/><Relationship Id="rId4" Type="http://schemas.openxmlformats.org/officeDocument/2006/relationships/hyperlink" Target="https://www.gov.wales/survey-agriculture-and-horticultur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gov.scot/publications/results-from-the-scottish-agricultural-census-june-2026/"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gov.scot/publications/results-from-the-scottish-agricultural-census-june-2026/"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gov.scot/publications/results-from-the-scottish-agricultural-census-june-2026/"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gov.scot/publications/results-from-the-scottish-agricultural-census-june-2026/"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gov.scot/publications/results-from-the-scottish-agricultural-census-june-2026/"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s://www.gov.scot/publications/results-from-the-scottish-agricultural-census-june-2026/"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gov.scot/publications/results-from-the-scottish-agricultural-census-june-2026/"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gov.scot/publications/results-from-the-scottish-agricultural-census-june-2026/"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www.gov.scot/publications/results-from-the-scottish-agricultural-census-june-2026/"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s://www.gov.scot/publications/results-from-the-scottish-agricultural-census-june-2026/"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hyperlink" Target="https://www.gov.scot/publications/results-from-the-scottish-agricultural-census-june-202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6/" TargetMode="Externa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hyperlink" Target="https://www.gov.scot/publications/results-from-the-scottish-agricultural-census-june-2026/"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hyperlink" Target="https://www.gov.scot/publications/results-from-the-scottish-agricultural-census-june-202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gov.scot/publications/results-from-the-scottish-agricultural-census-june-2026/" TargetMode="Externa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vml"/><Relationship Id="rId1" Type="http://schemas.openxmlformats.org/officeDocument/2006/relationships/hyperlink" Target="https://www.gov.scot/publications/results-from-the-scottish-agricultural-census-june-2026/"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printerSettings" Target="../printerSettings/printerSettings1.bin"/><Relationship Id="rId1" Type="http://schemas.openxmlformats.org/officeDocument/2006/relationships/hyperlink" Target="https://www.gov.scot/publications/results-from-the-scottish-agricultural-census-june-2026/" TargetMode="Externa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hyperlink" Target="https://www.gov.scot/publications/results-from-the-scottish-agricultural-census-june-2026/" TargetMode="Externa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hyperlink" Target="https://www.gov.scot/publications/results-from-the-scottish-agricultural-census-june-2026/" TargetMode="Externa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hyperlink" Target="https://www.gov.scot/publications/results-from-the-scottish-agricultural-census-june-2026/" TargetMode="Externa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hyperlink" Target="https://www.gov.scot/publications/results-from-the-scottish-agricultural-census-june-2026/" TargetMode="Externa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hyperlink" Target="https://www.gov.scot/publications/results-from-the-scottish-agricultural-census-june-2026/"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vmlDrawing" Target="../drawings/vmlDrawing2.vml"/><Relationship Id="rId1" Type="http://schemas.openxmlformats.org/officeDocument/2006/relationships/hyperlink" Target="https://www.gov.scot/publications/results-from-the-scottish-agricultural-census-june-2026/"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hyperlink" Target="https://www.gov.scot/publications/results-from-the-scottish-agricultural-census-june-2026/" TargetMode="External"/></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hyperlink" Target="https://www.gov.scot/publications/results-from-the-scottish-agricultural-census-june-2026/" TargetMode="Externa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hyperlink" Target="https://www.gov.scot/publications/results-from-the-scottish-agricultural-census-june-2026/" TargetMode="External"/></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hyperlink" Target="https://www.gov.scot/publications/results-from-the-scottish-agricultural-census-june-2026/" TargetMode="External"/></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hyperlink" Target="https://www.gov.scot/publications/results-from-the-scottish-agricultural-census-june-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showGridLines="0" workbookViewId="0"/>
  </sheetViews>
  <sheetFormatPr defaultColWidth="11.5546875" defaultRowHeight="15" x14ac:dyDescent="0.2"/>
  <cols>
    <col min="1" max="1" width="72.6640625" customWidth="1"/>
  </cols>
  <sheetData>
    <row r="1" spans="1:1" ht="20.25" x14ac:dyDescent="0.3">
      <c r="A1" s="1" t="s">
        <v>0</v>
      </c>
    </row>
    <row r="2" spans="1:1" ht="18" x14ac:dyDescent="0.25">
      <c r="A2" s="3" t="s">
        <v>1</v>
      </c>
    </row>
    <row r="3" spans="1:1" ht="33.950000000000003" customHeight="1" x14ac:dyDescent="0.25">
      <c r="A3" s="3" t="s">
        <v>3</v>
      </c>
    </row>
    <row r="4" spans="1:1" ht="30" x14ac:dyDescent="0.2">
      <c r="A4" s="2" t="s">
        <v>4</v>
      </c>
    </row>
    <row r="5" spans="1:1" ht="45" x14ac:dyDescent="0.2">
      <c r="A5" s="2" t="s">
        <v>5</v>
      </c>
    </row>
    <row r="6" spans="1:1" ht="30" x14ac:dyDescent="0.2">
      <c r="A6" s="2" t="s">
        <v>6</v>
      </c>
    </row>
    <row r="7" spans="1:1" ht="30" x14ac:dyDescent="0.2">
      <c r="A7" s="2" t="s">
        <v>7</v>
      </c>
    </row>
    <row r="8" spans="1:1" ht="33.950000000000003" customHeight="1" x14ac:dyDescent="0.25">
      <c r="A8" s="3" t="s">
        <v>8</v>
      </c>
    </row>
    <row r="9" spans="1:1" x14ac:dyDescent="0.2">
      <c r="A9" s="53" t="s">
        <v>9</v>
      </c>
    </row>
    <row r="10" spans="1:1" x14ac:dyDescent="0.2">
      <c r="A10" s="53" t="s">
        <v>10</v>
      </c>
    </row>
    <row r="11" spans="1:1" x14ac:dyDescent="0.2">
      <c r="A11" s="53" t="s">
        <v>11</v>
      </c>
    </row>
    <row r="12" spans="1:1" x14ac:dyDescent="0.2">
      <c r="A12" s="80" t="s">
        <v>578</v>
      </c>
    </row>
    <row r="13" spans="1:1" ht="33.950000000000003" customHeight="1" x14ac:dyDescent="0.25">
      <c r="A13" s="3" t="s">
        <v>12</v>
      </c>
    </row>
    <row r="14" spans="1:1" x14ac:dyDescent="0.2">
      <c r="A14" s="53" t="s">
        <v>13</v>
      </c>
    </row>
    <row r="15" spans="1:1" ht="33.950000000000003" customHeight="1" x14ac:dyDescent="0.25">
      <c r="A15" s="3" t="s">
        <v>14</v>
      </c>
    </row>
    <row r="16" spans="1:1" x14ac:dyDescent="0.2">
      <c r="A16" s="2" t="s">
        <v>15</v>
      </c>
    </row>
    <row r="17" spans="1:1" ht="33.950000000000003" customHeight="1" x14ac:dyDescent="0.25">
      <c r="A17" s="3" t="s">
        <v>16</v>
      </c>
    </row>
    <row r="18" spans="1:1" x14ac:dyDescent="0.2">
      <c r="A18" s="2" t="s">
        <v>15</v>
      </c>
    </row>
    <row r="19" spans="1:1" ht="33.950000000000003" customHeight="1" x14ac:dyDescent="0.25">
      <c r="A19" s="3" t="s">
        <v>17</v>
      </c>
    </row>
    <row r="20" spans="1:1" ht="30.75" x14ac:dyDescent="0.2">
      <c r="A20" s="38" t="s">
        <v>18</v>
      </c>
    </row>
    <row r="21" spans="1:1" ht="30.75" x14ac:dyDescent="0.2">
      <c r="A21" s="38" t="s">
        <v>19</v>
      </c>
    </row>
    <row r="22" spans="1:1" ht="48" customHeight="1" x14ac:dyDescent="0.2">
      <c r="A22" s="38" t="s">
        <v>20</v>
      </c>
    </row>
    <row r="23" spans="1:1" ht="34.5" customHeight="1" x14ac:dyDescent="0.2">
      <c r="A23" s="38" t="s">
        <v>21</v>
      </c>
    </row>
    <row r="24" spans="1:1" ht="15.75" x14ac:dyDescent="0.25">
      <c r="A24" s="38" t="s">
        <v>22</v>
      </c>
    </row>
    <row r="25" spans="1:1" ht="30.75" x14ac:dyDescent="0.2">
      <c r="A25" s="38" t="s">
        <v>23</v>
      </c>
    </row>
    <row r="26" spans="1:1" ht="15.75" x14ac:dyDescent="0.25">
      <c r="A26" s="38" t="s">
        <v>24</v>
      </c>
    </row>
    <row r="27" spans="1:1" ht="30.75" x14ac:dyDescent="0.2">
      <c r="A27" s="38" t="s">
        <v>25</v>
      </c>
    </row>
    <row r="28" spans="1:1" ht="15" customHeight="1" x14ac:dyDescent="0.25">
      <c r="A28" s="38" t="s">
        <v>26</v>
      </c>
    </row>
    <row r="29" spans="1:1" ht="15.75" x14ac:dyDescent="0.25">
      <c r="A29" s="38" t="s">
        <v>27</v>
      </c>
    </row>
    <row r="30" spans="1:1" ht="45.75" x14ac:dyDescent="0.2">
      <c r="A30" s="38" t="s">
        <v>28</v>
      </c>
    </row>
    <row r="31" spans="1:1" ht="45.75" x14ac:dyDescent="0.2">
      <c r="A31" s="38" t="s">
        <v>29</v>
      </c>
    </row>
    <row r="32" spans="1:1" ht="15.75" x14ac:dyDescent="0.25">
      <c r="A32" s="38" t="s">
        <v>30</v>
      </c>
    </row>
    <row r="33" spans="1:1" ht="15.75" x14ac:dyDescent="0.25">
      <c r="A33" s="38" t="s">
        <v>31</v>
      </c>
    </row>
    <row r="34" spans="1:1" ht="15.75" x14ac:dyDescent="0.25">
      <c r="A34" s="38" t="s">
        <v>32</v>
      </c>
    </row>
    <row r="35" spans="1:1" ht="30.75" x14ac:dyDescent="0.2">
      <c r="A35" s="38" t="s">
        <v>33</v>
      </c>
    </row>
    <row r="36" spans="1:1" ht="15.75" x14ac:dyDescent="0.25">
      <c r="A36" s="38" t="s">
        <v>34</v>
      </c>
    </row>
    <row r="37" spans="1:1" ht="30.75" x14ac:dyDescent="0.2">
      <c r="A37" s="38" t="s">
        <v>35</v>
      </c>
    </row>
  </sheetData>
  <hyperlinks>
    <hyperlink ref="A14" r:id="rId1" xr:uid="{00000000-0004-0000-0000-000003000000}"/>
    <hyperlink ref="A9" r:id="rId2" xr:uid="{8D8799FE-942C-4C02-AD7E-D5F531F8E45C}"/>
    <hyperlink ref="A10" r:id="rId3" xr:uid="{3F500D21-12AB-48CB-87FA-9A2EDCB16F99}"/>
    <hyperlink ref="A11" r:id="rId4" xr:uid="{B477A238-4463-4AC4-93A2-EC2B4E8FB564}"/>
    <hyperlink ref="A12" r:id="rId5" display="https://www.daera-ni.gov.uk/articles/agricultural-census-northern-ireland" xr:uid="{053F7ACB-EEA3-4269-B8D6-0D53CB6D3557}"/>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showGridLines="0" workbookViewId="0"/>
  </sheetViews>
  <sheetFormatPr defaultColWidth="11.5546875" defaultRowHeight="15" x14ac:dyDescent="0.2"/>
  <cols>
    <col min="1" max="1" width="16.6640625" customWidth="1"/>
    <col min="2" max="2" width="75.5546875" customWidth="1"/>
  </cols>
  <sheetData>
    <row r="1" spans="1:2" ht="20.25" x14ac:dyDescent="0.3">
      <c r="A1" s="4" t="s">
        <v>36</v>
      </c>
    </row>
    <row r="2" spans="1:2" x14ac:dyDescent="0.2">
      <c r="A2" t="s">
        <v>37</v>
      </c>
    </row>
    <row r="3" spans="1:2" ht="24.95" customHeight="1" x14ac:dyDescent="0.25">
      <c r="A3" s="6" t="s">
        <v>38</v>
      </c>
      <c r="B3" s="6" t="s">
        <v>39</v>
      </c>
    </row>
    <row r="4" spans="1:2" ht="24.95" customHeight="1" x14ac:dyDescent="0.2">
      <c r="A4" s="60" t="s">
        <v>40</v>
      </c>
      <c r="B4" s="5" t="s">
        <v>41</v>
      </c>
    </row>
    <row r="5" spans="1:2" ht="24.95" customHeight="1" x14ac:dyDescent="0.2">
      <c r="A5" s="60" t="s">
        <v>42</v>
      </c>
      <c r="B5" s="5" t="s">
        <v>43</v>
      </c>
    </row>
    <row r="6" spans="1:2" ht="24.95" customHeight="1" x14ac:dyDescent="0.2">
      <c r="A6" s="60" t="s">
        <v>44</v>
      </c>
      <c r="B6" s="5" t="s">
        <v>45</v>
      </c>
    </row>
    <row r="7" spans="1:2" ht="24.95" customHeight="1" x14ac:dyDescent="0.2">
      <c r="A7" s="60" t="s">
        <v>46</v>
      </c>
      <c r="B7" s="5" t="s">
        <v>47</v>
      </c>
    </row>
    <row r="8" spans="1:2" ht="24.95" customHeight="1" x14ac:dyDescent="0.2">
      <c r="A8" s="60" t="s">
        <v>48</v>
      </c>
      <c r="B8" s="5" t="s">
        <v>49</v>
      </c>
    </row>
    <row r="9" spans="1:2" ht="24.95" customHeight="1" x14ac:dyDescent="0.2">
      <c r="A9" s="60" t="s">
        <v>50</v>
      </c>
      <c r="B9" s="5" t="s">
        <v>51</v>
      </c>
    </row>
    <row r="10" spans="1:2" ht="24.95" customHeight="1" x14ac:dyDescent="0.2">
      <c r="A10" s="60" t="s">
        <v>52</v>
      </c>
      <c r="B10" s="5" t="s">
        <v>53</v>
      </c>
    </row>
    <row r="11" spans="1:2" ht="24.95" customHeight="1" x14ac:dyDescent="0.2">
      <c r="A11" s="60" t="s">
        <v>54</v>
      </c>
      <c r="B11" s="5" t="s">
        <v>55</v>
      </c>
    </row>
    <row r="12" spans="1:2" ht="24.95" customHeight="1" x14ac:dyDescent="0.2">
      <c r="A12" s="60" t="s">
        <v>56</v>
      </c>
      <c r="B12" s="5" t="s">
        <v>57</v>
      </c>
    </row>
    <row r="13" spans="1:2" ht="24.95" customHeight="1" x14ac:dyDescent="0.2">
      <c r="A13" s="60" t="s">
        <v>58</v>
      </c>
      <c r="B13" s="5" t="s">
        <v>59</v>
      </c>
    </row>
    <row r="14" spans="1:2" ht="24.95" customHeight="1" x14ac:dyDescent="0.2">
      <c r="A14" s="60" t="s">
        <v>60</v>
      </c>
      <c r="B14" s="5" t="s">
        <v>608</v>
      </c>
    </row>
    <row r="15" spans="1:2" ht="24.95" customHeight="1" x14ac:dyDescent="0.2">
      <c r="A15" s="60" t="s">
        <v>61</v>
      </c>
      <c r="B15" t="s">
        <v>609</v>
      </c>
    </row>
    <row r="16" spans="1:2" ht="24.95" customHeight="1" x14ac:dyDescent="0.2">
      <c r="A16" s="60" t="s">
        <v>62</v>
      </c>
      <c r="B16" s="61" t="s">
        <v>634</v>
      </c>
    </row>
    <row r="17" spans="1:2" ht="24.95" customHeight="1" x14ac:dyDescent="0.2">
      <c r="A17" s="60" t="s">
        <v>64</v>
      </c>
      <c r="B17" s="5" t="s">
        <v>63</v>
      </c>
    </row>
    <row r="18" spans="1:2" ht="24.95" customHeight="1" x14ac:dyDescent="0.2">
      <c r="A18" s="60" t="s">
        <v>66</v>
      </c>
      <c r="B18" s="5" t="s">
        <v>65</v>
      </c>
    </row>
    <row r="19" spans="1:2" ht="24.95" customHeight="1" x14ac:dyDescent="0.2">
      <c r="A19" s="60" t="s">
        <v>68</v>
      </c>
      <c r="B19" s="5" t="s">
        <v>67</v>
      </c>
    </row>
    <row r="20" spans="1:2" ht="24.95" customHeight="1" x14ac:dyDescent="0.2">
      <c r="A20" s="60" t="s">
        <v>69</v>
      </c>
      <c r="B20" s="61" t="s">
        <v>568</v>
      </c>
    </row>
    <row r="21" spans="1:2" ht="24.95" customHeight="1" x14ac:dyDescent="0.2">
      <c r="A21" s="60" t="s">
        <v>70</v>
      </c>
      <c r="B21" s="61" t="s">
        <v>569</v>
      </c>
    </row>
    <row r="22" spans="1:2" ht="24.95" customHeight="1" x14ac:dyDescent="0.2">
      <c r="A22" s="60" t="s">
        <v>71</v>
      </c>
      <c r="B22" s="61" t="s">
        <v>570</v>
      </c>
    </row>
    <row r="23" spans="1:2" ht="24.95" customHeight="1" x14ac:dyDescent="0.2">
      <c r="A23" s="60" t="s">
        <v>72</v>
      </c>
      <c r="B23" s="61" t="s">
        <v>571</v>
      </c>
    </row>
    <row r="24" spans="1:2" ht="24.95" customHeight="1" x14ac:dyDescent="0.2">
      <c r="A24" s="60" t="s">
        <v>73</v>
      </c>
      <c r="B24" s="61" t="s">
        <v>572</v>
      </c>
    </row>
    <row r="25" spans="1:2" ht="24.95" customHeight="1" x14ac:dyDescent="0.2">
      <c r="A25" s="60" t="s">
        <v>74</v>
      </c>
      <c r="B25" s="61" t="s">
        <v>573</v>
      </c>
    </row>
    <row r="26" spans="1:2" ht="24.95" customHeight="1" x14ac:dyDescent="0.2">
      <c r="A26" s="60" t="s">
        <v>75</v>
      </c>
      <c r="B26" s="61" t="s">
        <v>574</v>
      </c>
    </row>
    <row r="27" spans="1:2" ht="24.95" customHeight="1" x14ac:dyDescent="0.2">
      <c r="A27" s="60" t="s">
        <v>76</v>
      </c>
      <c r="B27" s="61" t="s">
        <v>575</v>
      </c>
    </row>
    <row r="28" spans="1:2" ht="24.95" customHeight="1" x14ac:dyDescent="0.2">
      <c r="A28" s="60" t="s">
        <v>78</v>
      </c>
      <c r="B28" s="5" t="s">
        <v>77</v>
      </c>
    </row>
    <row r="29" spans="1:2" ht="24.95" customHeight="1" x14ac:dyDescent="0.2">
      <c r="A29" s="60" t="s">
        <v>80</v>
      </c>
      <c r="B29" s="5" t="s">
        <v>79</v>
      </c>
    </row>
    <row r="30" spans="1:2" ht="24.95" customHeight="1" x14ac:dyDescent="0.2">
      <c r="A30" s="60" t="s">
        <v>81</v>
      </c>
      <c r="B30" s="5" t="s">
        <v>577</v>
      </c>
    </row>
    <row r="31" spans="1:2" ht="24.95" customHeight="1" x14ac:dyDescent="0.2">
      <c r="A31" s="60" t="s">
        <v>82</v>
      </c>
      <c r="B31" s="5" t="s">
        <v>83</v>
      </c>
    </row>
    <row r="32" spans="1:2" ht="24.95" customHeight="1" x14ac:dyDescent="0.2">
      <c r="A32" s="60" t="s">
        <v>84</v>
      </c>
      <c r="B32" s="5" t="s">
        <v>85</v>
      </c>
    </row>
  </sheetData>
  <hyperlinks>
    <hyperlink ref="A4" location="Notes!A1" display="Notes" xr:uid="{073ACC6F-7CCE-466F-A54F-BAE91B73301D}"/>
    <hyperlink ref="A5" location="Table_1!A1" display="Table 1" xr:uid="{1147C38A-9D1B-4F69-8BE6-B4B8AEBB46A2}"/>
    <hyperlink ref="A6" location="Table_2!A1" display="Table 2" xr:uid="{37645009-3701-46E5-B234-AF10B7F25B16}"/>
    <hyperlink ref="A7" location="Table_3!A1" display="Table 3" xr:uid="{476C39D5-8B1A-4433-8AFD-B13DAD14ADAD}"/>
    <hyperlink ref="A8" location="Table_4!A1" display="Table 4" xr:uid="{33F2FBAE-9A0A-46C5-AD3C-92E938712579}"/>
    <hyperlink ref="A9" location="Table_5!A1" display="Table 5" xr:uid="{3B2AA55A-14CA-4D28-8CA3-EEF02ADC5895}"/>
    <hyperlink ref="A10" location="Table_6!A1" display="Table 6" xr:uid="{0B6706CE-8BE5-44CA-B02C-19CA30A7F31A}"/>
    <hyperlink ref="A11" location="Table_7!A1" display="Table 7" xr:uid="{930578AF-F35C-4E08-86EE-6398C0BDE428}"/>
    <hyperlink ref="A12" location="Table_8!A1" display="Table 8" xr:uid="{7D242E91-B7F3-47E5-A5F6-F47E57BDFA25}"/>
    <hyperlink ref="A13" location="Table_9!A1" display="Table 9" xr:uid="{E7B5936C-57C4-4327-A24F-DDCA890E012D}"/>
    <hyperlink ref="A14" location="Table_10!A1" display="Table 10" xr:uid="{5EEB19CA-BA9E-4ED9-8927-7E44C5B84EB4}"/>
    <hyperlink ref="A15" location="Table_11!A1" display="Table 11" xr:uid="{0BE0727D-9D54-44E2-B6A4-C6854CC02F87}"/>
    <hyperlink ref="A16" location="Table_12!A1" display="Table 12" xr:uid="{4901A243-AAA9-4137-849C-BF5A16676DB5}"/>
    <hyperlink ref="A17" location="Table_13!A1" display="Table 13" xr:uid="{0C4EC2D6-E669-4A5D-87FA-CFB7564550FB}"/>
    <hyperlink ref="A18" location="Table_14!A1" display="Table 14" xr:uid="{6872E577-AFA2-47E6-842A-33A8FB714EE5}"/>
    <hyperlink ref="A19" location="Table_15!A1" display="Table 15" xr:uid="{10098937-2F2F-4979-B2AA-B3A9255E0E54}"/>
    <hyperlink ref="A20" location="Table_16!A1" display="Table 16" xr:uid="{01BE47EA-5293-4371-AAC6-D5ED6FD09AC7}"/>
    <hyperlink ref="A21" location="Table_17!A1" display="Table 17" xr:uid="{37EE89B6-CBE0-4F5E-B511-82A37BAB6287}"/>
    <hyperlink ref="A22" location="Table_18!A1" display="Table 18" xr:uid="{7C26008D-21ED-4C2F-83D7-D9EFCC2B8968}"/>
    <hyperlink ref="A23" location="Table_19!A1" display="Table 19" xr:uid="{8B20418C-7C6B-4E44-AF92-8E2615EE8AF5}"/>
    <hyperlink ref="A24" location="Table_20!A1" display="Table 20" xr:uid="{63F99280-B517-4B51-AB31-73746BA192F5}"/>
    <hyperlink ref="A25" location="Table_21!A1" display="Table 21" xr:uid="{12680CF4-93EE-458A-8A05-8C2A006979C5}"/>
    <hyperlink ref="A26" location="Table_22!A1" display="Table 22" xr:uid="{091D21C8-02C0-45BD-BD33-4BF6F7A821C0}"/>
    <hyperlink ref="A27" location="Table_23!A1" display="Table 23" xr:uid="{4810DCA4-64E7-410E-9678-2E9DCCD5277E}"/>
    <hyperlink ref="A28" location="Table_24!A1" display="Table 24" xr:uid="{2B72970C-7F1A-4B98-99EE-70D68CFFFC05}"/>
    <hyperlink ref="A29" location="Table_25!A1" display="Table 25" xr:uid="{9DD74B40-167D-4A51-A7EF-6CA6BB970671}"/>
    <hyperlink ref="A30" location="Table_26!A1" display="Table 26" xr:uid="{F9517CD6-CF69-4419-98A8-A3D3D049A865}"/>
    <hyperlink ref="A31" location="Table_27!A1" display="Table 27" xr:uid="{3FADA10D-7BB3-4A66-B030-2A5EE7454F02}"/>
    <hyperlink ref="A32" location="Table_28!A1" display="Table 28" xr:uid="{A0360927-A11C-4D48-82D5-8FAF9010802D}"/>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
  <sheetViews>
    <sheetView showGridLines="0" workbookViewId="0"/>
  </sheetViews>
  <sheetFormatPr defaultColWidth="11.5546875" defaultRowHeight="15" x14ac:dyDescent="0.2"/>
  <cols>
    <col min="1" max="1" width="16.6640625" customWidth="1"/>
    <col min="2" max="2" width="70.88671875" customWidth="1"/>
    <col min="3" max="3" width="56.6640625" customWidth="1"/>
  </cols>
  <sheetData>
    <row r="1" spans="1:3" ht="20.25" x14ac:dyDescent="0.3">
      <c r="A1" s="4" t="s">
        <v>40</v>
      </c>
    </row>
    <row r="2" spans="1:3" x14ac:dyDescent="0.2">
      <c r="A2" t="s">
        <v>37</v>
      </c>
    </row>
    <row r="3" spans="1:3" x14ac:dyDescent="0.2">
      <c r="A3" s="46" t="s">
        <v>579</v>
      </c>
    </row>
    <row r="4" spans="1:3" ht="15.75" x14ac:dyDescent="0.25">
      <c r="A4" s="6" t="s">
        <v>86</v>
      </c>
      <c r="B4" s="6" t="s">
        <v>87</v>
      </c>
      <c r="C4" s="6" t="s">
        <v>580</v>
      </c>
    </row>
    <row r="5" spans="1:3" ht="30" x14ac:dyDescent="0.2">
      <c r="A5" s="5" t="s">
        <v>88</v>
      </c>
      <c r="B5" s="5" t="s">
        <v>89</v>
      </c>
      <c r="C5" s="5" t="s">
        <v>581</v>
      </c>
    </row>
    <row r="6" spans="1:3" ht="30" x14ac:dyDescent="0.2">
      <c r="A6" s="5" t="s">
        <v>90</v>
      </c>
      <c r="B6" s="5" t="s">
        <v>91</v>
      </c>
      <c r="C6" s="5" t="s">
        <v>582</v>
      </c>
    </row>
    <row r="7" spans="1:3" ht="30" x14ac:dyDescent="0.2">
      <c r="A7" s="5" t="s">
        <v>92</v>
      </c>
      <c r="B7" s="5" t="s">
        <v>93</v>
      </c>
      <c r="C7" s="5" t="s">
        <v>42</v>
      </c>
    </row>
    <row r="8" spans="1:3" ht="30" x14ac:dyDescent="0.2">
      <c r="A8" s="5" t="s">
        <v>94</v>
      </c>
      <c r="B8" s="5" t="s">
        <v>95</v>
      </c>
      <c r="C8" s="5" t="s">
        <v>42</v>
      </c>
    </row>
    <row r="9" spans="1:3" ht="24.95" customHeight="1" x14ac:dyDescent="0.2">
      <c r="A9" s="5" t="s">
        <v>96</v>
      </c>
      <c r="B9" s="5" t="s">
        <v>97</v>
      </c>
      <c r="C9" s="5" t="s">
        <v>42</v>
      </c>
    </row>
    <row r="10" spans="1:3" ht="30" x14ac:dyDescent="0.2">
      <c r="A10" s="5" t="s">
        <v>98</v>
      </c>
      <c r="B10" s="61" t="s">
        <v>99</v>
      </c>
      <c r="C10" s="61" t="s">
        <v>42</v>
      </c>
    </row>
    <row r="11" spans="1:3" ht="60" x14ac:dyDescent="0.2">
      <c r="A11" s="5" t="s">
        <v>100</v>
      </c>
      <c r="B11" s="5" t="s">
        <v>101</v>
      </c>
      <c r="C11" s="5" t="s">
        <v>50</v>
      </c>
    </row>
    <row r="12" spans="1:3" ht="45" x14ac:dyDescent="0.2">
      <c r="A12" s="5" t="s">
        <v>102</v>
      </c>
      <c r="B12" s="5" t="s">
        <v>103</v>
      </c>
      <c r="C12" s="5" t="s">
        <v>52</v>
      </c>
    </row>
    <row r="13" spans="1:3" ht="30" x14ac:dyDescent="0.2">
      <c r="A13" s="5" t="s">
        <v>104</v>
      </c>
      <c r="B13" s="5" t="s">
        <v>105</v>
      </c>
      <c r="C13" s="5" t="s">
        <v>54</v>
      </c>
    </row>
    <row r="14" spans="1:3" ht="60" x14ac:dyDescent="0.2">
      <c r="A14" s="5" t="s">
        <v>106</v>
      </c>
      <c r="B14" s="89" t="s">
        <v>107</v>
      </c>
      <c r="C14" s="89" t="s">
        <v>56</v>
      </c>
    </row>
    <row r="15" spans="1:3" ht="30" x14ac:dyDescent="0.2">
      <c r="A15" s="5" t="s">
        <v>108</v>
      </c>
      <c r="B15" s="61" t="s">
        <v>588</v>
      </c>
      <c r="C15" s="61" t="s">
        <v>61</v>
      </c>
    </row>
    <row r="16" spans="1:3" ht="65.45" customHeight="1" x14ac:dyDescent="0.2">
      <c r="A16" s="5" t="s">
        <v>109</v>
      </c>
      <c r="B16" s="61" t="s">
        <v>110</v>
      </c>
      <c r="C16" s="61" t="s">
        <v>64</v>
      </c>
    </row>
    <row r="17" spans="1:3" ht="30" x14ac:dyDescent="0.2">
      <c r="A17" s="5" t="s">
        <v>111</v>
      </c>
      <c r="B17" s="61" t="s">
        <v>112</v>
      </c>
      <c r="C17" s="61" t="s">
        <v>66</v>
      </c>
    </row>
    <row r="18" spans="1:3" ht="45" x14ac:dyDescent="0.2">
      <c r="A18" s="5" t="s">
        <v>113</v>
      </c>
      <c r="B18" s="61" t="s">
        <v>114</v>
      </c>
      <c r="C18" s="61" t="s">
        <v>66</v>
      </c>
    </row>
    <row r="19" spans="1:3" ht="30" x14ac:dyDescent="0.2">
      <c r="A19" s="5" t="s">
        <v>115</v>
      </c>
      <c r="B19" s="5" t="s">
        <v>116</v>
      </c>
      <c r="C19" t="s">
        <v>69</v>
      </c>
    </row>
    <row r="20" spans="1:3" ht="21.95" customHeight="1" x14ac:dyDescent="0.2">
      <c r="A20" s="5" t="s">
        <v>117</v>
      </c>
      <c r="B20" s="61" t="s">
        <v>118</v>
      </c>
      <c r="C20" s="61" t="s">
        <v>601</v>
      </c>
    </row>
    <row r="21" spans="1:3" ht="30" x14ac:dyDescent="0.2">
      <c r="A21" s="5" t="s">
        <v>119</v>
      </c>
      <c r="B21" s="5" t="s">
        <v>120</v>
      </c>
      <c r="C21" t="s">
        <v>601</v>
      </c>
    </row>
    <row r="22" spans="1:3" ht="30" x14ac:dyDescent="0.2">
      <c r="A22" s="5" t="s">
        <v>121</v>
      </c>
      <c r="B22" s="5" t="s">
        <v>122</v>
      </c>
      <c r="C22" t="s">
        <v>602</v>
      </c>
    </row>
    <row r="23" spans="1:3" ht="24.95" customHeight="1" x14ac:dyDescent="0.2">
      <c r="A23" s="5" t="s">
        <v>123</v>
      </c>
      <c r="B23" s="5" t="s">
        <v>124</v>
      </c>
      <c r="C23" t="s">
        <v>603</v>
      </c>
    </row>
    <row r="24" spans="1:3" ht="24.95" customHeight="1" x14ac:dyDescent="0.2">
      <c r="A24" s="5" t="s">
        <v>125</v>
      </c>
      <c r="B24" s="61" t="s">
        <v>126</v>
      </c>
      <c r="C24" t="s">
        <v>603</v>
      </c>
    </row>
    <row r="25" spans="1:3" ht="30" x14ac:dyDescent="0.2">
      <c r="A25" s="5" t="s">
        <v>127</v>
      </c>
      <c r="B25" s="5" t="s">
        <v>128</v>
      </c>
      <c r="C25" t="s">
        <v>73</v>
      </c>
    </row>
    <row r="26" spans="1:3" ht="30" x14ac:dyDescent="0.2">
      <c r="A26" s="5" t="s">
        <v>129</v>
      </c>
      <c r="B26" s="5" t="s">
        <v>130</v>
      </c>
      <c r="C26" t="s">
        <v>604</v>
      </c>
    </row>
    <row r="27" spans="1:3" ht="30" x14ac:dyDescent="0.2">
      <c r="A27" s="5" t="s">
        <v>131</v>
      </c>
      <c r="B27" s="5" t="s">
        <v>132</v>
      </c>
      <c r="C27" t="s">
        <v>605</v>
      </c>
    </row>
    <row r="28" spans="1:3" ht="24.95" customHeight="1" x14ac:dyDescent="0.2">
      <c r="A28" s="5" t="s">
        <v>133</v>
      </c>
      <c r="B28" s="5" t="s">
        <v>585</v>
      </c>
      <c r="C28" t="s">
        <v>60</v>
      </c>
    </row>
    <row r="29" spans="1:3" ht="30" x14ac:dyDescent="0.2">
      <c r="A29" s="5" t="s">
        <v>134</v>
      </c>
      <c r="B29" s="5" t="s">
        <v>135</v>
      </c>
      <c r="C29" t="s">
        <v>593</v>
      </c>
    </row>
    <row r="30" spans="1:3" ht="45" x14ac:dyDescent="0.2">
      <c r="A30" s="5" t="s">
        <v>136</v>
      </c>
      <c r="B30" s="5" t="s">
        <v>137</v>
      </c>
      <c r="C30" s="5" t="s">
        <v>593</v>
      </c>
    </row>
    <row r="31" spans="1:3" ht="24.95" customHeight="1" x14ac:dyDescent="0.2">
      <c r="A31" s="5" t="s">
        <v>583</v>
      </c>
      <c r="B31" s="5" t="s">
        <v>586</v>
      </c>
      <c r="C31" t="s">
        <v>58</v>
      </c>
    </row>
    <row r="32" spans="1:3" ht="48" customHeight="1" x14ac:dyDescent="0.2">
      <c r="A32" t="s">
        <v>584</v>
      </c>
      <c r="B32" s="2" t="s">
        <v>587</v>
      </c>
      <c r="C32" t="s">
        <v>78</v>
      </c>
    </row>
    <row r="33" spans="1:3" ht="60" x14ac:dyDescent="0.2">
      <c r="A33" s="73" t="s">
        <v>589</v>
      </c>
      <c r="B33" s="88" t="s">
        <v>590</v>
      </c>
      <c r="C33" s="73" t="s">
        <v>606</v>
      </c>
    </row>
  </sheetData>
  <hyperlinks>
    <hyperlink ref="A3" location="'Contents'!A1" display="Link to Contents table" xr:uid="{0D4F3732-6DA1-486A-8D35-7A109C88EB7E}"/>
  </hyperlinks>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5"/>
  <sheetViews>
    <sheetView showGridLines="0" zoomScaleNormal="100" workbookViewId="0"/>
  </sheetViews>
  <sheetFormatPr defaultColWidth="11.5546875" defaultRowHeight="15" x14ac:dyDescent="0.2"/>
  <cols>
    <col min="1" max="1" width="50.6640625" customWidth="1"/>
    <col min="2" max="6" width="15.6640625" style="8" customWidth="1"/>
    <col min="7" max="15" width="15.6640625" customWidth="1"/>
    <col min="16" max="16" width="50.5546875" customWidth="1"/>
    <col min="17" max="100" width="15.6640625" customWidth="1"/>
  </cols>
  <sheetData>
    <row r="1" spans="1:18" ht="20.25" x14ac:dyDescent="0.3">
      <c r="A1" s="4" t="s">
        <v>138</v>
      </c>
    </row>
    <row r="2" spans="1:18" x14ac:dyDescent="0.2">
      <c r="A2" t="s">
        <v>37</v>
      </c>
      <c r="K2" s="54"/>
      <c r="L2" s="54"/>
      <c r="M2" s="54"/>
    </row>
    <row r="3" spans="1:18" x14ac:dyDescent="0.2">
      <c r="A3" t="s">
        <v>139</v>
      </c>
      <c r="I3" s="54"/>
      <c r="M3" s="55"/>
    </row>
    <row r="4" spans="1:18" x14ac:dyDescent="0.2">
      <c r="A4" s="7" t="str">
        <f>HYPERLINK("#Notes!A1", "Link to Notes table")</f>
        <v>Link to Notes table</v>
      </c>
      <c r="M4" s="55"/>
    </row>
    <row r="5" spans="1:18" ht="15.75" thickBot="1" x14ac:dyDescent="0.25">
      <c r="A5" s="7" t="s">
        <v>140</v>
      </c>
    </row>
    <row r="6" spans="1:18" ht="48" thickBot="1" x14ac:dyDescent="0.3">
      <c r="A6" s="14" t="s">
        <v>141</v>
      </c>
      <c r="B6" s="15" t="s">
        <v>142</v>
      </c>
      <c r="C6" s="15" t="s">
        <v>143</v>
      </c>
      <c r="D6" s="15" t="s">
        <v>144</v>
      </c>
      <c r="E6" s="15" t="s">
        <v>145</v>
      </c>
      <c r="F6" s="15" t="s">
        <v>146</v>
      </c>
      <c r="G6" s="15" t="s">
        <v>147</v>
      </c>
      <c r="H6" s="15" t="s">
        <v>148</v>
      </c>
      <c r="I6" s="15" t="s">
        <v>149</v>
      </c>
      <c r="J6" s="15" t="s">
        <v>150</v>
      </c>
      <c r="K6" s="15" t="s">
        <v>151</v>
      </c>
      <c r="L6" s="17" t="s">
        <v>152</v>
      </c>
      <c r="M6" s="20" t="s">
        <v>153</v>
      </c>
      <c r="N6" s="20" t="s">
        <v>154</v>
      </c>
      <c r="O6" s="20" t="s">
        <v>155</v>
      </c>
      <c r="P6" s="16" t="s">
        <v>156</v>
      </c>
    </row>
    <row r="7" spans="1:18" ht="24.95" customHeight="1" x14ac:dyDescent="0.2">
      <c r="A7" s="11" t="s">
        <v>157</v>
      </c>
      <c r="B7" s="9">
        <v>109594</v>
      </c>
      <c r="C7" s="9">
        <v>109489</v>
      </c>
      <c r="D7" s="9">
        <v>99778</v>
      </c>
      <c r="E7" s="9">
        <v>107480</v>
      </c>
      <c r="F7" s="9">
        <v>93538</v>
      </c>
      <c r="G7" s="9">
        <v>104571</v>
      </c>
      <c r="H7" s="9">
        <v>110187</v>
      </c>
      <c r="I7" s="9">
        <v>107166.17</v>
      </c>
      <c r="J7" s="9">
        <v>98055.13</v>
      </c>
      <c r="K7" s="9">
        <v>108256.06</v>
      </c>
      <c r="L7" s="18">
        <v>114519.25459783799</v>
      </c>
      <c r="M7" s="21">
        <v>105647.1</v>
      </c>
      <c r="N7" s="23">
        <v>8.4</v>
      </c>
      <c r="O7" s="23">
        <v>5.8</v>
      </c>
      <c r="P7" s="2" t="s">
        <v>2</v>
      </c>
      <c r="Q7" s="56"/>
    </row>
    <row r="8" spans="1:18" ht="24.95" customHeight="1" x14ac:dyDescent="0.2">
      <c r="A8" s="11" t="s">
        <v>158</v>
      </c>
      <c r="B8" s="9">
        <v>614</v>
      </c>
      <c r="C8" s="9">
        <v>601</v>
      </c>
      <c r="D8" s="9">
        <v>956</v>
      </c>
      <c r="E8" s="9">
        <v>533</v>
      </c>
      <c r="F8" s="9">
        <v>448</v>
      </c>
      <c r="G8" s="9">
        <v>441</v>
      </c>
      <c r="H8" s="9">
        <v>378</v>
      </c>
      <c r="I8" s="9">
        <v>258.43</v>
      </c>
      <c r="J8" s="9">
        <v>451.71300000000002</v>
      </c>
      <c r="K8" s="9">
        <v>350.39179999999999</v>
      </c>
      <c r="L8" s="18">
        <v>269.37123698303202</v>
      </c>
      <c r="M8" s="21">
        <v>375.9</v>
      </c>
      <c r="N8" s="23">
        <v>-28.3</v>
      </c>
      <c r="O8" s="23">
        <v>-23.1</v>
      </c>
      <c r="P8" s="2" t="s">
        <v>2</v>
      </c>
      <c r="R8" s="59"/>
    </row>
    <row r="9" spans="1:18" ht="24.95" customHeight="1" x14ac:dyDescent="0.2">
      <c r="A9" s="11" t="s">
        <v>159</v>
      </c>
      <c r="B9" s="9">
        <v>48031</v>
      </c>
      <c r="C9" s="9">
        <v>47509</v>
      </c>
      <c r="D9" s="9">
        <v>37542</v>
      </c>
      <c r="E9" s="9">
        <v>48802</v>
      </c>
      <c r="F9" s="9">
        <v>43091</v>
      </c>
      <c r="G9" s="9">
        <v>43246</v>
      </c>
      <c r="H9" s="9">
        <v>45659</v>
      </c>
      <c r="I9" s="9">
        <v>46358.05</v>
      </c>
      <c r="J9" s="9">
        <v>42873.69</v>
      </c>
      <c r="K9" s="9">
        <v>43430.89</v>
      </c>
      <c r="L9" s="18">
        <v>44965.162600174997</v>
      </c>
      <c r="M9" s="21">
        <v>44313.5</v>
      </c>
      <c r="N9" s="23">
        <v>1.5</v>
      </c>
      <c r="O9" s="23">
        <v>3.5</v>
      </c>
      <c r="P9" s="2" t="s">
        <v>2</v>
      </c>
      <c r="R9" s="59"/>
    </row>
    <row r="10" spans="1:18" ht="24.95" customHeight="1" x14ac:dyDescent="0.2">
      <c r="A10" s="11" t="s">
        <v>160</v>
      </c>
      <c r="B10" s="9">
        <v>238899</v>
      </c>
      <c r="C10" s="9">
        <v>243838</v>
      </c>
      <c r="D10" s="9">
        <v>250476</v>
      </c>
      <c r="E10" s="9">
        <v>242090</v>
      </c>
      <c r="F10" s="9">
        <v>258702</v>
      </c>
      <c r="G10" s="9">
        <v>248921</v>
      </c>
      <c r="H10" s="9">
        <v>244717</v>
      </c>
      <c r="I10" s="9">
        <v>249462.49</v>
      </c>
      <c r="J10" s="9">
        <v>257506.63</v>
      </c>
      <c r="K10" s="9">
        <v>251892.47</v>
      </c>
      <c r="L10" s="18">
        <v>206958.818996052</v>
      </c>
      <c r="M10" s="21">
        <v>250499.9</v>
      </c>
      <c r="N10" s="23">
        <v>-17.399999999999999</v>
      </c>
      <c r="O10" s="23">
        <v>-17.8</v>
      </c>
      <c r="P10" s="2" t="s">
        <v>2</v>
      </c>
      <c r="R10" s="59"/>
    </row>
    <row r="11" spans="1:18" ht="24.95" customHeight="1" x14ac:dyDescent="0.25">
      <c r="A11" s="12" t="s">
        <v>161</v>
      </c>
      <c r="B11" s="10">
        <v>286930</v>
      </c>
      <c r="C11" s="10">
        <v>291347</v>
      </c>
      <c r="D11" s="10">
        <v>288017</v>
      </c>
      <c r="E11" s="10">
        <v>290893</v>
      </c>
      <c r="F11" s="10">
        <v>301793</v>
      </c>
      <c r="G11" s="10">
        <v>292167</v>
      </c>
      <c r="H11" s="10">
        <v>290376</v>
      </c>
      <c r="I11" s="10">
        <v>295820.53999999998</v>
      </c>
      <c r="J11" s="10">
        <v>300380.31</v>
      </c>
      <c r="K11" s="10">
        <v>295323.37</v>
      </c>
      <c r="L11" s="19">
        <v>251923.98159622599</v>
      </c>
      <c r="M11" s="22">
        <v>294813.40000000002</v>
      </c>
      <c r="N11" s="24">
        <v>-14.5</v>
      </c>
      <c r="O11" s="24">
        <v>-14.7</v>
      </c>
      <c r="P11" s="6" t="s">
        <v>2</v>
      </c>
      <c r="R11" s="59"/>
    </row>
    <row r="12" spans="1:18" ht="24.95" customHeight="1" x14ac:dyDescent="0.2">
      <c r="A12" s="11" t="s">
        <v>162</v>
      </c>
      <c r="B12" s="9">
        <v>8091</v>
      </c>
      <c r="C12" s="9">
        <v>9168</v>
      </c>
      <c r="D12" s="9">
        <v>8439</v>
      </c>
      <c r="E12" s="9">
        <v>10015</v>
      </c>
      <c r="F12" s="9">
        <v>7984</v>
      </c>
      <c r="G12" s="9">
        <v>9983</v>
      </c>
      <c r="H12" s="9">
        <v>8914</v>
      </c>
      <c r="I12" s="9">
        <v>8785.1299999999992</v>
      </c>
      <c r="J12" s="9">
        <v>8075.52</v>
      </c>
      <c r="K12" s="9">
        <v>9655.5300000000007</v>
      </c>
      <c r="L12" s="18">
        <v>10516.8116499513</v>
      </c>
      <c r="M12" s="21">
        <v>9082.6</v>
      </c>
      <c r="N12" s="23">
        <v>15.8</v>
      </c>
      <c r="O12" s="23">
        <v>8.9</v>
      </c>
      <c r="P12" s="2" t="s">
        <v>2</v>
      </c>
      <c r="R12" s="59"/>
    </row>
    <row r="13" spans="1:18" ht="24.95" customHeight="1" x14ac:dyDescent="0.2">
      <c r="A13" s="11" t="s">
        <v>163</v>
      </c>
      <c r="B13" s="9">
        <v>23119</v>
      </c>
      <c r="C13" s="9">
        <v>23456</v>
      </c>
      <c r="D13" s="9">
        <v>23661</v>
      </c>
      <c r="E13" s="9">
        <v>21905</v>
      </c>
      <c r="F13" s="9">
        <v>26000</v>
      </c>
      <c r="G13" s="9">
        <v>23756</v>
      </c>
      <c r="H13" s="9">
        <v>19763</v>
      </c>
      <c r="I13" s="9">
        <v>17396.740000000002</v>
      </c>
      <c r="J13" s="9">
        <v>19514.84</v>
      </c>
      <c r="K13" s="9">
        <v>19788.05</v>
      </c>
      <c r="L13" s="18">
        <v>19838.000603053399</v>
      </c>
      <c r="M13" s="21">
        <v>20043.7</v>
      </c>
      <c r="N13" s="23">
        <v>-1</v>
      </c>
      <c r="O13" s="23">
        <v>0.3</v>
      </c>
      <c r="P13" s="2" t="s">
        <v>2</v>
      </c>
      <c r="R13" s="59"/>
    </row>
    <row r="14" spans="1:18" ht="24.95" customHeight="1" x14ac:dyDescent="0.25">
      <c r="A14" s="12" t="s">
        <v>164</v>
      </c>
      <c r="B14" s="10">
        <v>31210</v>
      </c>
      <c r="C14" s="10">
        <v>32625</v>
      </c>
      <c r="D14" s="10">
        <v>32101</v>
      </c>
      <c r="E14" s="10">
        <v>31920</v>
      </c>
      <c r="F14" s="10">
        <v>33984</v>
      </c>
      <c r="G14" s="10">
        <v>33739</v>
      </c>
      <c r="H14" s="10">
        <v>28677</v>
      </c>
      <c r="I14" s="10">
        <v>26181.87</v>
      </c>
      <c r="J14" s="10">
        <v>27590.36</v>
      </c>
      <c r="K14" s="10">
        <v>29443.58</v>
      </c>
      <c r="L14" s="19">
        <v>30354.812253004598</v>
      </c>
      <c r="M14" s="22">
        <v>29126.400000000001</v>
      </c>
      <c r="N14" s="24">
        <v>4.2</v>
      </c>
      <c r="O14" s="24">
        <v>3.1</v>
      </c>
      <c r="P14" s="6" t="s">
        <v>2</v>
      </c>
      <c r="R14" s="59"/>
    </row>
    <row r="15" spans="1:18" ht="24.95" customHeight="1" x14ac:dyDescent="0.2">
      <c r="A15" s="11" t="s">
        <v>165</v>
      </c>
      <c r="B15" s="9">
        <v>3725</v>
      </c>
      <c r="C15" s="9">
        <v>5480</v>
      </c>
      <c r="D15" s="9">
        <v>5786</v>
      </c>
      <c r="E15" s="9">
        <v>6415</v>
      </c>
      <c r="F15" s="9">
        <v>5137</v>
      </c>
      <c r="G15" s="9">
        <v>6626</v>
      </c>
      <c r="H15" s="9">
        <v>7291</v>
      </c>
      <c r="I15" s="9">
        <v>7197.44</v>
      </c>
      <c r="J15" s="9">
        <v>6583.08</v>
      </c>
      <c r="K15" s="9">
        <v>7524.87</v>
      </c>
      <c r="L15" s="18">
        <v>8184.2956324826</v>
      </c>
      <c r="M15" s="21">
        <v>7044.5</v>
      </c>
      <c r="N15" s="23">
        <v>16.2</v>
      </c>
      <c r="O15" s="23">
        <v>8.8000000000000007</v>
      </c>
      <c r="P15" s="2" t="s">
        <v>2</v>
      </c>
      <c r="R15" s="59"/>
    </row>
    <row r="16" spans="1:18" ht="24.95" customHeight="1" x14ac:dyDescent="0.2">
      <c r="A16" s="11" t="s">
        <v>166</v>
      </c>
      <c r="B16" s="9">
        <v>18</v>
      </c>
      <c r="C16" s="9">
        <v>16</v>
      </c>
      <c r="D16" s="9">
        <v>18</v>
      </c>
      <c r="E16" s="9">
        <v>18</v>
      </c>
      <c r="F16" s="9">
        <v>41</v>
      </c>
      <c r="G16" s="9">
        <v>21</v>
      </c>
      <c r="H16" s="9">
        <v>21</v>
      </c>
      <c r="I16" s="9">
        <v>20.52</v>
      </c>
      <c r="J16" s="9">
        <v>20.52</v>
      </c>
      <c r="K16" s="9">
        <v>20.52</v>
      </c>
      <c r="L16" s="18">
        <v>16.489999999999998</v>
      </c>
      <c r="M16" s="21">
        <v>20.7</v>
      </c>
      <c r="N16" s="23">
        <v>-20.3</v>
      </c>
      <c r="O16" s="23">
        <v>-19.600000000000001</v>
      </c>
      <c r="P16" s="38" t="s">
        <v>167</v>
      </c>
      <c r="R16" s="59"/>
    </row>
    <row r="17" spans="1:18" ht="24.95" customHeight="1" x14ac:dyDescent="0.25">
      <c r="A17" s="12" t="s">
        <v>168</v>
      </c>
      <c r="B17" s="10">
        <v>432091</v>
      </c>
      <c r="C17" s="10">
        <v>439557</v>
      </c>
      <c r="D17" s="10">
        <v>426656</v>
      </c>
      <c r="E17" s="10">
        <v>437258</v>
      </c>
      <c r="F17" s="10">
        <v>434940</v>
      </c>
      <c r="G17" s="10">
        <v>437564</v>
      </c>
      <c r="H17" s="10">
        <v>436930</v>
      </c>
      <c r="I17" s="10">
        <v>436644.97</v>
      </c>
      <c r="J17" s="10">
        <v>433081.11</v>
      </c>
      <c r="K17" s="10">
        <v>440918.78</v>
      </c>
      <c r="L17" s="19">
        <v>405268.20531653502</v>
      </c>
      <c r="M17" s="22">
        <v>437027.8</v>
      </c>
      <c r="N17" s="24">
        <v>-7.3</v>
      </c>
      <c r="O17" s="24">
        <v>-8.1</v>
      </c>
      <c r="P17" s="62" t="s">
        <v>2</v>
      </c>
      <c r="R17" s="59"/>
    </row>
    <row r="18" spans="1:18" ht="24.95" customHeight="1" x14ac:dyDescent="0.2">
      <c r="A18" s="11" t="s">
        <v>169</v>
      </c>
      <c r="B18" s="9">
        <v>30141</v>
      </c>
      <c r="C18" s="9">
        <v>33843</v>
      </c>
      <c r="D18" s="9">
        <v>32284</v>
      </c>
      <c r="E18" s="9">
        <v>31561</v>
      </c>
      <c r="F18" s="9">
        <v>30373</v>
      </c>
      <c r="G18" s="9">
        <v>32771</v>
      </c>
      <c r="H18" s="9">
        <v>35860</v>
      </c>
      <c r="I18" s="9">
        <v>40483.56</v>
      </c>
      <c r="J18" s="9">
        <v>36500.85</v>
      </c>
      <c r="K18" s="9">
        <v>32523.119999999999</v>
      </c>
      <c r="L18" s="18">
        <v>41889.483947777102</v>
      </c>
      <c r="M18" s="21">
        <v>35627.699999999997</v>
      </c>
      <c r="N18" s="23">
        <v>17.600000000000001</v>
      </c>
      <c r="O18" s="23">
        <v>28.8</v>
      </c>
      <c r="P18" s="2" t="s">
        <v>2</v>
      </c>
      <c r="R18" s="59"/>
    </row>
    <row r="19" spans="1:18" ht="24.95" customHeight="1" x14ac:dyDescent="0.2">
      <c r="A19" s="11" t="s">
        <v>170</v>
      </c>
      <c r="B19" s="9">
        <v>590</v>
      </c>
      <c r="C19" s="9">
        <v>345</v>
      </c>
      <c r="D19" s="9">
        <v>454</v>
      </c>
      <c r="E19" s="9">
        <v>246</v>
      </c>
      <c r="F19" s="9">
        <v>420</v>
      </c>
      <c r="G19" s="9">
        <v>417</v>
      </c>
      <c r="H19" s="9">
        <v>291</v>
      </c>
      <c r="I19" s="9">
        <v>256.98</v>
      </c>
      <c r="J19" s="9">
        <v>167.11494250000001</v>
      </c>
      <c r="K19" s="9">
        <v>141.4216978</v>
      </c>
      <c r="L19" s="18">
        <v>400.26788417545401</v>
      </c>
      <c r="M19" s="21">
        <v>254.7</v>
      </c>
      <c r="N19" s="23">
        <v>57.2</v>
      </c>
      <c r="O19" s="23">
        <v>183</v>
      </c>
      <c r="P19" s="38" t="s">
        <v>171</v>
      </c>
      <c r="R19" s="59"/>
    </row>
    <row r="20" spans="1:18" ht="24.95" customHeight="1" x14ac:dyDescent="0.2">
      <c r="A20" s="11" t="s">
        <v>172</v>
      </c>
      <c r="B20" s="9" t="s">
        <v>173</v>
      </c>
      <c r="C20" s="9" t="s">
        <v>173</v>
      </c>
      <c r="D20" s="9" t="s">
        <v>173</v>
      </c>
      <c r="E20" s="9">
        <v>47</v>
      </c>
      <c r="F20" s="9">
        <v>117</v>
      </c>
      <c r="G20" s="9">
        <v>193</v>
      </c>
      <c r="H20" s="9">
        <v>122</v>
      </c>
      <c r="I20" s="9">
        <v>49.46</v>
      </c>
      <c r="J20" s="9">
        <v>48.5625</v>
      </c>
      <c r="K20" s="9">
        <v>112.17910000000001</v>
      </c>
      <c r="L20" s="18">
        <v>106.73863024256499</v>
      </c>
      <c r="M20" s="21">
        <v>105</v>
      </c>
      <c r="N20" s="23">
        <v>1.7</v>
      </c>
      <c r="O20" s="23">
        <v>-4.8</v>
      </c>
      <c r="P20" s="2" t="s">
        <v>171</v>
      </c>
      <c r="R20" s="59"/>
    </row>
    <row r="21" spans="1:18" ht="24.95" customHeight="1" x14ac:dyDescent="0.25">
      <c r="A21" s="12" t="s">
        <v>174</v>
      </c>
      <c r="B21" s="10">
        <v>30731</v>
      </c>
      <c r="C21" s="10">
        <v>34188</v>
      </c>
      <c r="D21" s="10">
        <v>32738</v>
      </c>
      <c r="E21" s="10">
        <v>31855</v>
      </c>
      <c r="F21" s="10">
        <v>30910</v>
      </c>
      <c r="G21" s="10">
        <v>33381</v>
      </c>
      <c r="H21" s="10">
        <v>36274</v>
      </c>
      <c r="I21" s="10">
        <v>40790</v>
      </c>
      <c r="J21" s="10">
        <v>36716.53</v>
      </c>
      <c r="K21" s="10">
        <v>32776.720000000001</v>
      </c>
      <c r="L21" s="19">
        <v>42396.490462195099</v>
      </c>
      <c r="M21" s="22">
        <v>35987.699999999997</v>
      </c>
      <c r="N21" s="24">
        <v>17.8</v>
      </c>
      <c r="O21" s="24">
        <v>29.3</v>
      </c>
      <c r="P21" s="6" t="s">
        <v>2</v>
      </c>
      <c r="R21" s="59"/>
    </row>
    <row r="22" spans="1:18" ht="24.95" customHeight="1" x14ac:dyDescent="0.2">
      <c r="A22" s="11" t="s">
        <v>175</v>
      </c>
      <c r="B22" s="9">
        <v>776</v>
      </c>
      <c r="C22" s="9">
        <v>714</v>
      </c>
      <c r="D22" s="9">
        <v>514</v>
      </c>
      <c r="E22" s="9">
        <v>517</v>
      </c>
      <c r="F22" s="9">
        <v>328</v>
      </c>
      <c r="G22" s="9">
        <v>342</v>
      </c>
      <c r="H22" s="9">
        <v>420</v>
      </c>
      <c r="I22" s="9">
        <v>439.83</v>
      </c>
      <c r="J22" s="9">
        <v>541.65747999999996</v>
      </c>
      <c r="K22" s="9">
        <v>349.63743069999998</v>
      </c>
      <c r="L22" s="18">
        <v>506.07029092048299</v>
      </c>
      <c r="M22" s="21">
        <v>418.6</v>
      </c>
      <c r="N22" s="23">
        <v>20.9</v>
      </c>
      <c r="O22" s="23">
        <v>44.7</v>
      </c>
      <c r="P22" s="2" t="s">
        <v>2</v>
      </c>
      <c r="R22" s="59"/>
    </row>
    <row r="23" spans="1:18" ht="24.95" customHeight="1" x14ac:dyDescent="0.2">
      <c r="A23" s="11" t="s">
        <v>176</v>
      </c>
      <c r="B23" s="9">
        <v>3002</v>
      </c>
      <c r="C23" s="9">
        <v>2993</v>
      </c>
      <c r="D23" s="9">
        <v>2033</v>
      </c>
      <c r="E23" s="9">
        <v>1803</v>
      </c>
      <c r="F23" s="9">
        <v>2138</v>
      </c>
      <c r="G23" s="9">
        <v>2051</v>
      </c>
      <c r="H23" s="9">
        <v>2720</v>
      </c>
      <c r="I23" s="9">
        <v>2653.77</v>
      </c>
      <c r="J23" s="9">
        <v>2919.16</v>
      </c>
      <c r="K23" s="9">
        <v>3019.67</v>
      </c>
      <c r="L23" s="18">
        <v>3270.7902664837102</v>
      </c>
      <c r="M23" s="21">
        <v>2672.7</v>
      </c>
      <c r="N23" s="23">
        <v>22.4</v>
      </c>
      <c r="O23" s="23">
        <v>8.3000000000000007</v>
      </c>
      <c r="P23" s="2" t="s">
        <v>2</v>
      </c>
      <c r="R23" s="59"/>
    </row>
    <row r="24" spans="1:18" ht="24.95" customHeight="1" x14ac:dyDescent="0.25">
      <c r="A24" s="12" t="s">
        <v>177</v>
      </c>
      <c r="B24" s="10">
        <v>466599</v>
      </c>
      <c r="C24" s="10">
        <v>477452</v>
      </c>
      <c r="D24" s="10">
        <v>461943</v>
      </c>
      <c r="E24" s="10">
        <v>471434</v>
      </c>
      <c r="F24" s="10">
        <v>468317</v>
      </c>
      <c r="G24" s="10">
        <v>473338</v>
      </c>
      <c r="H24" s="10">
        <v>476345</v>
      </c>
      <c r="I24" s="10">
        <v>480528.57</v>
      </c>
      <c r="J24" s="10">
        <v>473258.45</v>
      </c>
      <c r="K24" s="10">
        <v>477064.8</v>
      </c>
      <c r="L24" s="19">
        <v>451441.55633613397</v>
      </c>
      <c r="M24" s="22">
        <v>476107</v>
      </c>
      <c r="N24" s="24">
        <v>-5.2</v>
      </c>
      <c r="O24" s="24">
        <v>-5.4</v>
      </c>
      <c r="P24" s="6" t="s">
        <v>2</v>
      </c>
      <c r="R24" s="59"/>
    </row>
    <row r="25" spans="1:18" ht="24.95" customHeight="1" x14ac:dyDescent="0.2">
      <c r="A25" s="11" t="s">
        <v>178</v>
      </c>
      <c r="B25" s="9">
        <v>12760</v>
      </c>
      <c r="C25" s="9">
        <v>13108</v>
      </c>
      <c r="D25" s="9">
        <v>12091</v>
      </c>
      <c r="E25" s="9">
        <v>12548</v>
      </c>
      <c r="F25" s="9">
        <v>12003</v>
      </c>
      <c r="G25" s="9">
        <v>12173</v>
      </c>
      <c r="H25" s="9">
        <v>12137</v>
      </c>
      <c r="I25" s="9">
        <v>11743.33</v>
      </c>
      <c r="J25" s="9">
        <v>12787.5</v>
      </c>
      <c r="K25" s="9">
        <v>13361.29</v>
      </c>
      <c r="L25" s="18">
        <v>12320.580164299299</v>
      </c>
      <c r="M25" s="21">
        <v>12440.4</v>
      </c>
      <c r="N25" s="23">
        <v>-1</v>
      </c>
      <c r="O25" s="23">
        <v>-7.8</v>
      </c>
      <c r="P25" s="2" t="s">
        <v>2</v>
      </c>
      <c r="R25" s="59"/>
    </row>
    <row r="26" spans="1:18" ht="24.95" customHeight="1" x14ac:dyDescent="0.2">
      <c r="A26" s="11" t="s">
        <v>179</v>
      </c>
      <c r="B26" s="9">
        <v>14766</v>
      </c>
      <c r="C26" s="9">
        <v>16177</v>
      </c>
      <c r="D26" s="9">
        <v>15267</v>
      </c>
      <c r="E26" s="9">
        <v>15943</v>
      </c>
      <c r="F26" s="9">
        <v>16294</v>
      </c>
      <c r="G26" s="9">
        <v>16245</v>
      </c>
      <c r="H26" s="9">
        <v>15826</v>
      </c>
      <c r="I26" s="9">
        <v>14850.6</v>
      </c>
      <c r="J26" s="9">
        <v>16297.7</v>
      </c>
      <c r="K26" s="9">
        <v>17003.18</v>
      </c>
      <c r="L26" s="18">
        <v>16674.947885839101</v>
      </c>
      <c r="M26" s="21">
        <v>16044.5</v>
      </c>
      <c r="N26" s="23">
        <v>3.9</v>
      </c>
      <c r="O26" s="23">
        <v>-1.9</v>
      </c>
      <c r="P26" s="2" t="s">
        <v>2</v>
      </c>
      <c r="R26" s="59"/>
    </row>
    <row r="27" spans="1:18" ht="24.95" customHeight="1" x14ac:dyDescent="0.25">
      <c r="A27" s="12" t="s">
        <v>180</v>
      </c>
      <c r="B27" s="10">
        <v>27525</v>
      </c>
      <c r="C27" s="10">
        <v>29285</v>
      </c>
      <c r="D27" s="10">
        <v>27358</v>
      </c>
      <c r="E27" s="10">
        <v>28491</v>
      </c>
      <c r="F27" s="10">
        <v>28297</v>
      </c>
      <c r="G27" s="10">
        <v>28418</v>
      </c>
      <c r="H27" s="10">
        <v>27963</v>
      </c>
      <c r="I27" s="10">
        <v>26593.93</v>
      </c>
      <c r="J27" s="10">
        <v>29085.200000000001</v>
      </c>
      <c r="K27" s="10">
        <v>30364.47</v>
      </c>
      <c r="L27" s="19">
        <v>28995.5280501384</v>
      </c>
      <c r="M27" s="22">
        <v>28484.9</v>
      </c>
      <c r="N27" s="24">
        <v>1.8</v>
      </c>
      <c r="O27" s="24">
        <v>-4.5</v>
      </c>
      <c r="P27" s="6" t="s">
        <v>2</v>
      </c>
      <c r="R27" s="59"/>
    </row>
    <row r="28" spans="1:18" ht="24.95" customHeight="1" x14ac:dyDescent="0.2">
      <c r="A28" s="11" t="s">
        <v>181</v>
      </c>
      <c r="B28" s="9">
        <v>4099</v>
      </c>
      <c r="C28" s="9">
        <v>3806</v>
      </c>
      <c r="D28" s="9">
        <v>3882</v>
      </c>
      <c r="E28" s="9">
        <v>3824</v>
      </c>
      <c r="F28" s="9">
        <v>3611</v>
      </c>
      <c r="G28" s="9">
        <v>3517</v>
      </c>
      <c r="H28" s="9">
        <v>3356</v>
      </c>
      <c r="I28" s="9">
        <v>3025.88</v>
      </c>
      <c r="J28" s="9">
        <v>3116.92</v>
      </c>
      <c r="K28" s="9">
        <v>3227.25</v>
      </c>
      <c r="L28" s="18">
        <v>3216.1889231836099</v>
      </c>
      <c r="M28" s="21">
        <v>3248.6</v>
      </c>
      <c r="N28" s="23">
        <v>-1</v>
      </c>
      <c r="O28" s="23">
        <v>-0.3</v>
      </c>
      <c r="P28" s="2" t="s">
        <v>2</v>
      </c>
      <c r="R28" s="59"/>
    </row>
    <row r="29" spans="1:18" ht="24.95" customHeight="1" x14ac:dyDescent="0.2">
      <c r="A29" s="11" t="s">
        <v>182</v>
      </c>
      <c r="B29" s="9">
        <v>2035</v>
      </c>
      <c r="C29" s="9">
        <v>1915</v>
      </c>
      <c r="D29" s="9">
        <v>1968</v>
      </c>
      <c r="E29" s="9">
        <v>1869</v>
      </c>
      <c r="F29" s="9">
        <v>2306</v>
      </c>
      <c r="G29" s="9">
        <v>2068</v>
      </c>
      <c r="H29" s="9">
        <v>1808</v>
      </c>
      <c r="I29" s="9">
        <v>1961.38</v>
      </c>
      <c r="J29" s="9">
        <v>1966.58</v>
      </c>
      <c r="K29" s="9">
        <v>2015.62</v>
      </c>
      <c r="L29" s="18">
        <v>2030.0323932034501</v>
      </c>
      <c r="M29" s="21">
        <v>1963.9</v>
      </c>
      <c r="N29" s="23">
        <v>3.4</v>
      </c>
      <c r="O29" s="23">
        <v>0.7</v>
      </c>
      <c r="P29" s="2" t="s">
        <v>2</v>
      </c>
      <c r="R29" s="59"/>
    </row>
    <row r="30" spans="1:18" ht="24.95" customHeight="1" x14ac:dyDescent="0.2">
      <c r="A30" s="11" t="s">
        <v>183</v>
      </c>
      <c r="B30" s="9">
        <v>763</v>
      </c>
      <c r="C30" s="9">
        <v>792</v>
      </c>
      <c r="D30" s="9">
        <v>836</v>
      </c>
      <c r="E30" s="9">
        <v>879</v>
      </c>
      <c r="F30" s="9">
        <v>1026</v>
      </c>
      <c r="G30" s="9">
        <v>1229</v>
      </c>
      <c r="H30" s="9">
        <v>1274</v>
      </c>
      <c r="I30" s="9">
        <v>1459.59</v>
      </c>
      <c r="J30" s="9">
        <v>2119.4</v>
      </c>
      <c r="K30" s="9">
        <v>2582.86</v>
      </c>
      <c r="L30" s="18">
        <v>3411.73592151206</v>
      </c>
      <c r="M30" s="21">
        <v>1733</v>
      </c>
      <c r="N30" s="23">
        <v>96.9</v>
      </c>
      <c r="O30" s="23">
        <v>32.1</v>
      </c>
      <c r="P30" s="2" t="s">
        <v>2</v>
      </c>
      <c r="R30" s="59"/>
    </row>
    <row r="31" spans="1:18" ht="24.95" customHeight="1" x14ac:dyDescent="0.2">
      <c r="A31" s="11" t="s">
        <v>184</v>
      </c>
      <c r="B31" s="9">
        <v>2011</v>
      </c>
      <c r="C31" s="9">
        <v>2007</v>
      </c>
      <c r="D31" s="9">
        <v>1933</v>
      </c>
      <c r="E31" s="9">
        <v>2140</v>
      </c>
      <c r="F31" s="9">
        <v>2293</v>
      </c>
      <c r="G31" s="9">
        <v>2248</v>
      </c>
      <c r="H31" s="9">
        <v>2046</v>
      </c>
      <c r="I31" s="9">
        <v>1767.99</v>
      </c>
      <c r="J31" s="9">
        <v>1915.76</v>
      </c>
      <c r="K31" s="9">
        <v>1880.86</v>
      </c>
      <c r="L31" s="18">
        <v>1934.70055067307</v>
      </c>
      <c r="M31" s="21">
        <v>1971.7</v>
      </c>
      <c r="N31" s="23">
        <v>-1.9</v>
      </c>
      <c r="O31" s="23">
        <v>2.9</v>
      </c>
      <c r="P31" s="2" t="s">
        <v>2</v>
      </c>
      <c r="R31" s="59"/>
    </row>
    <row r="32" spans="1:18" ht="24.95" customHeight="1" x14ac:dyDescent="0.2">
      <c r="A32" s="11" t="s">
        <v>185</v>
      </c>
      <c r="B32" s="9">
        <v>437</v>
      </c>
      <c r="C32" s="9">
        <v>611</v>
      </c>
      <c r="D32" s="9">
        <v>729</v>
      </c>
      <c r="E32" s="9">
        <v>971</v>
      </c>
      <c r="F32" s="9">
        <v>1314</v>
      </c>
      <c r="G32" s="9">
        <v>1193</v>
      </c>
      <c r="H32" s="9">
        <v>1085</v>
      </c>
      <c r="I32" s="9">
        <v>1040.8800000000001</v>
      </c>
      <c r="J32" s="9">
        <v>1168.23</v>
      </c>
      <c r="K32" s="9">
        <v>1143.3499999999999</v>
      </c>
      <c r="L32" s="18">
        <v>1246.2463112508001</v>
      </c>
      <c r="M32" s="21">
        <v>1126.0999999999999</v>
      </c>
      <c r="N32" s="23">
        <v>10.7</v>
      </c>
      <c r="O32" s="23">
        <v>9</v>
      </c>
      <c r="P32" s="2" t="s">
        <v>2</v>
      </c>
      <c r="R32" s="59"/>
    </row>
    <row r="33" spans="1:18" ht="24.95" customHeight="1" x14ac:dyDescent="0.2">
      <c r="A33" s="11" t="s">
        <v>186</v>
      </c>
      <c r="B33" s="9">
        <v>43</v>
      </c>
      <c r="C33" s="9">
        <v>27</v>
      </c>
      <c r="D33" s="9">
        <v>5</v>
      </c>
      <c r="E33" s="9" t="s">
        <v>173</v>
      </c>
      <c r="F33" s="9" t="s">
        <v>173</v>
      </c>
      <c r="G33" s="9">
        <v>13</v>
      </c>
      <c r="H33" s="9">
        <v>14</v>
      </c>
      <c r="I33" s="9">
        <v>10.54</v>
      </c>
      <c r="J33" s="9">
        <v>15.128</v>
      </c>
      <c r="K33" s="9">
        <v>8.3203469240000008</v>
      </c>
      <c r="L33" s="18">
        <v>16.279291628395001</v>
      </c>
      <c r="M33" s="21">
        <v>12.2</v>
      </c>
      <c r="N33" s="23">
        <v>33.4</v>
      </c>
      <c r="O33" s="23">
        <v>95.7</v>
      </c>
      <c r="P33" s="2" t="s">
        <v>187</v>
      </c>
      <c r="R33" s="59"/>
    </row>
    <row r="34" spans="1:18" ht="24.95" customHeight="1" x14ac:dyDescent="0.2">
      <c r="A34" s="11" t="s">
        <v>188</v>
      </c>
      <c r="B34" s="9">
        <v>7073</v>
      </c>
      <c r="C34" s="9">
        <v>6834</v>
      </c>
      <c r="D34" s="9">
        <v>7407</v>
      </c>
      <c r="E34" s="9">
        <v>7359</v>
      </c>
      <c r="F34" s="9">
        <v>6259</v>
      </c>
      <c r="G34" s="9">
        <v>6481</v>
      </c>
      <c r="H34" s="9">
        <v>6847</v>
      </c>
      <c r="I34" s="9">
        <v>6517.27</v>
      </c>
      <c r="J34" s="9">
        <v>6252.19</v>
      </c>
      <c r="K34" s="9">
        <v>6182.31</v>
      </c>
      <c r="L34" s="18">
        <v>5753.1414429227798</v>
      </c>
      <c r="M34" s="21">
        <v>6456</v>
      </c>
      <c r="N34" s="23">
        <v>-10.9</v>
      </c>
      <c r="O34" s="23">
        <v>-6.9</v>
      </c>
      <c r="P34" s="2" t="s">
        <v>2</v>
      </c>
      <c r="R34" s="59"/>
    </row>
    <row r="35" spans="1:18" ht="24.95" customHeight="1" x14ac:dyDescent="0.25">
      <c r="A35" s="12" t="s">
        <v>189</v>
      </c>
      <c r="B35" s="10">
        <v>16460</v>
      </c>
      <c r="C35" s="10">
        <v>15992</v>
      </c>
      <c r="D35" s="10">
        <v>16761</v>
      </c>
      <c r="E35" s="10">
        <v>17041</v>
      </c>
      <c r="F35" s="10">
        <v>16807</v>
      </c>
      <c r="G35" s="10">
        <v>16749</v>
      </c>
      <c r="H35" s="10">
        <v>16430</v>
      </c>
      <c r="I35" s="10">
        <v>15783.53</v>
      </c>
      <c r="J35" s="10">
        <v>16554.21</v>
      </c>
      <c r="K35" s="10">
        <v>17040.560000000001</v>
      </c>
      <c r="L35" s="19">
        <v>17608.324834374202</v>
      </c>
      <c r="M35" s="22">
        <v>16511.5</v>
      </c>
      <c r="N35" s="24">
        <v>6.6</v>
      </c>
      <c r="O35" s="24">
        <v>3.3</v>
      </c>
      <c r="P35" s="6" t="s">
        <v>2</v>
      </c>
      <c r="R35" s="59"/>
    </row>
    <row r="36" spans="1:18" ht="24.95" customHeight="1" x14ac:dyDescent="0.2">
      <c r="A36" s="11" t="s">
        <v>190</v>
      </c>
      <c r="B36" s="9">
        <v>18168</v>
      </c>
      <c r="C36" s="9">
        <v>19336</v>
      </c>
      <c r="D36" s="9">
        <v>18888</v>
      </c>
      <c r="E36" s="9">
        <v>18624</v>
      </c>
      <c r="F36" s="9">
        <v>20996</v>
      </c>
      <c r="G36" s="9">
        <v>22066</v>
      </c>
      <c r="H36" s="9">
        <v>21057</v>
      </c>
      <c r="I36" s="78">
        <v>21446.57</v>
      </c>
      <c r="J36" s="9">
        <v>21944.27</v>
      </c>
      <c r="K36" s="9">
        <v>22672.29</v>
      </c>
      <c r="L36" s="18">
        <v>24300.111703664901</v>
      </c>
      <c r="M36" s="21">
        <v>21837.200000000001</v>
      </c>
      <c r="N36" s="23">
        <v>11.3</v>
      </c>
      <c r="O36" s="23">
        <v>7.2</v>
      </c>
      <c r="P36" s="2" t="s">
        <v>2</v>
      </c>
      <c r="R36" s="59"/>
    </row>
    <row r="37" spans="1:18" ht="24.95" customHeight="1" x14ac:dyDescent="0.2">
      <c r="A37" s="11" t="s">
        <v>191</v>
      </c>
      <c r="B37" s="9">
        <v>98</v>
      </c>
      <c r="C37" s="9">
        <v>100</v>
      </c>
      <c r="D37" s="9">
        <v>106</v>
      </c>
      <c r="E37" s="9">
        <v>128</v>
      </c>
      <c r="F37" s="9">
        <v>150</v>
      </c>
      <c r="G37" s="9">
        <v>172</v>
      </c>
      <c r="H37" s="9">
        <v>194</v>
      </c>
      <c r="I37" s="78">
        <v>160.13999999999999</v>
      </c>
      <c r="J37" s="9">
        <v>190.5159367</v>
      </c>
      <c r="K37" s="9">
        <v>196.61642370000001</v>
      </c>
      <c r="L37" s="18">
        <v>213.77090282719499</v>
      </c>
      <c r="M37" s="21">
        <v>182.7</v>
      </c>
      <c r="N37" s="23">
        <v>17</v>
      </c>
      <c r="O37" s="23">
        <v>8.6999999999999993</v>
      </c>
      <c r="P37" s="2" t="s">
        <v>2</v>
      </c>
      <c r="R37" s="59"/>
    </row>
    <row r="38" spans="1:18" ht="24.95" customHeight="1" x14ac:dyDescent="0.2">
      <c r="A38" s="11" t="s">
        <v>192</v>
      </c>
      <c r="B38" s="9">
        <v>1878</v>
      </c>
      <c r="C38" s="9">
        <v>2064</v>
      </c>
      <c r="D38" s="9">
        <v>2057</v>
      </c>
      <c r="E38" s="9">
        <v>2037</v>
      </c>
      <c r="F38" s="9">
        <v>2172</v>
      </c>
      <c r="G38" s="9">
        <v>2161</v>
      </c>
      <c r="H38" s="9">
        <v>2083</v>
      </c>
      <c r="I38" s="78">
        <v>1959.6</v>
      </c>
      <c r="J38" s="9">
        <v>1962.53</v>
      </c>
      <c r="K38" s="9">
        <v>1930.19</v>
      </c>
      <c r="L38" s="18">
        <v>1808.6818905991599</v>
      </c>
      <c r="M38" s="21">
        <v>2019.3</v>
      </c>
      <c r="N38" s="23">
        <v>-10.4</v>
      </c>
      <c r="O38" s="23">
        <v>-6.3</v>
      </c>
      <c r="P38" s="2" t="s">
        <v>2</v>
      </c>
      <c r="R38" s="59"/>
    </row>
    <row r="39" spans="1:18" ht="24.95" customHeight="1" x14ac:dyDescent="0.2">
      <c r="A39" s="11" t="s">
        <v>193</v>
      </c>
      <c r="B39" s="9">
        <v>8507</v>
      </c>
      <c r="C39" s="9">
        <v>8541</v>
      </c>
      <c r="D39" s="9">
        <v>9777</v>
      </c>
      <c r="E39" s="9">
        <v>11156</v>
      </c>
      <c r="F39" s="9">
        <v>12690</v>
      </c>
      <c r="G39" s="9">
        <v>13866</v>
      </c>
      <c r="H39" s="9">
        <v>13725</v>
      </c>
      <c r="I39" s="78">
        <v>11565.95</v>
      </c>
      <c r="J39" s="9">
        <v>11936.15</v>
      </c>
      <c r="K39" s="9">
        <v>13946.38</v>
      </c>
      <c r="L39" s="18">
        <v>14514.5772722496</v>
      </c>
      <c r="M39" s="21">
        <v>13007.9</v>
      </c>
      <c r="N39" s="23">
        <v>11.6</v>
      </c>
      <c r="O39" s="23">
        <v>4.0999999999999996</v>
      </c>
      <c r="P39" s="2" t="s">
        <v>2</v>
      </c>
      <c r="R39" s="59"/>
    </row>
    <row r="40" spans="1:18" ht="24.95" customHeight="1" x14ac:dyDescent="0.2">
      <c r="A40" s="11" t="s">
        <v>194</v>
      </c>
      <c r="B40" s="9">
        <v>40217</v>
      </c>
      <c r="C40" s="9">
        <v>34778</v>
      </c>
      <c r="D40" s="9">
        <v>32894</v>
      </c>
      <c r="E40" s="9">
        <v>26073</v>
      </c>
      <c r="F40" s="9">
        <v>27509</v>
      </c>
      <c r="G40" s="9">
        <v>25743</v>
      </c>
      <c r="H40" s="9">
        <v>24637</v>
      </c>
      <c r="I40" s="78">
        <v>23116.68</v>
      </c>
      <c r="J40" s="9">
        <v>28080.32</v>
      </c>
      <c r="K40" s="9">
        <v>23742.17</v>
      </c>
      <c r="L40" s="18">
        <v>20921.863605681399</v>
      </c>
      <c r="M40" s="21">
        <v>25063.8</v>
      </c>
      <c r="N40" s="23">
        <v>-16.5</v>
      </c>
      <c r="O40" s="23">
        <v>-11.9</v>
      </c>
      <c r="P40" s="2" t="s">
        <v>2</v>
      </c>
      <c r="R40" s="59"/>
    </row>
    <row r="41" spans="1:18" ht="24.95" customHeight="1" x14ac:dyDescent="0.2">
      <c r="A41" s="11" t="s">
        <v>195</v>
      </c>
      <c r="B41" s="9">
        <v>2791</v>
      </c>
      <c r="C41" s="9">
        <v>3781</v>
      </c>
      <c r="D41" s="9">
        <v>4066</v>
      </c>
      <c r="E41" s="9">
        <v>4679</v>
      </c>
      <c r="F41" s="9">
        <v>5556</v>
      </c>
      <c r="G41" s="9">
        <v>6288</v>
      </c>
      <c r="H41" s="9">
        <v>6746</v>
      </c>
      <c r="I41" s="78">
        <v>5507.52</v>
      </c>
      <c r="J41" s="9">
        <v>5279.25</v>
      </c>
      <c r="K41" s="9">
        <v>5745.36</v>
      </c>
      <c r="L41" s="18">
        <v>6342.4697584613004</v>
      </c>
      <c r="M41" s="21">
        <v>5913.2</v>
      </c>
      <c r="N41" s="23">
        <v>7.3</v>
      </c>
      <c r="O41" s="23">
        <v>10.4</v>
      </c>
      <c r="P41" s="2" t="s">
        <v>2</v>
      </c>
      <c r="R41" s="59"/>
    </row>
    <row r="42" spans="1:18" ht="24.95" customHeight="1" x14ac:dyDescent="0.25">
      <c r="A42" s="12" t="s">
        <v>196</v>
      </c>
      <c r="B42" s="10">
        <v>43008</v>
      </c>
      <c r="C42" s="10">
        <v>38559</v>
      </c>
      <c r="D42" s="10">
        <v>36960</v>
      </c>
      <c r="E42" s="10">
        <v>30752</v>
      </c>
      <c r="F42" s="10">
        <v>33065</v>
      </c>
      <c r="G42" s="10">
        <v>32032</v>
      </c>
      <c r="H42" s="10">
        <v>31383</v>
      </c>
      <c r="I42" s="79">
        <v>28624.2</v>
      </c>
      <c r="J42" s="10">
        <v>33359.57</v>
      </c>
      <c r="K42" s="10">
        <v>29487.53</v>
      </c>
      <c r="L42" s="19">
        <v>27264.333364142702</v>
      </c>
      <c r="M42" s="22">
        <v>30977.3</v>
      </c>
      <c r="N42" s="24">
        <v>-12</v>
      </c>
      <c r="O42" s="24">
        <v>-7.5</v>
      </c>
      <c r="P42" s="6" t="s">
        <v>2</v>
      </c>
      <c r="R42" s="59"/>
    </row>
    <row r="43" spans="1:18" ht="24.95" customHeight="1" x14ac:dyDescent="0.25">
      <c r="A43" s="12" t="s">
        <v>197</v>
      </c>
      <c r="B43" s="10">
        <v>582243</v>
      </c>
      <c r="C43" s="10">
        <v>591330</v>
      </c>
      <c r="D43" s="10">
        <v>573850</v>
      </c>
      <c r="E43" s="10">
        <v>579661</v>
      </c>
      <c r="F43" s="10">
        <v>582495</v>
      </c>
      <c r="G43" s="10">
        <v>588802</v>
      </c>
      <c r="H43" s="10">
        <v>589180</v>
      </c>
      <c r="I43" s="79">
        <v>586662.5</v>
      </c>
      <c r="J43" s="10">
        <v>588290.88</v>
      </c>
      <c r="K43" s="10">
        <v>592702.82999999996</v>
      </c>
      <c r="L43" s="19">
        <v>566146.88435413002</v>
      </c>
      <c r="M43" s="22">
        <v>589127.6</v>
      </c>
      <c r="N43" s="24">
        <v>-3.9</v>
      </c>
      <c r="O43" s="24">
        <v>-4.5</v>
      </c>
      <c r="P43" s="6" t="s">
        <v>2</v>
      </c>
      <c r="R43" s="59"/>
    </row>
    <row r="44" spans="1:18" ht="24.95" customHeight="1" x14ac:dyDescent="0.2">
      <c r="A44" s="11" t="s">
        <v>198</v>
      </c>
      <c r="B44" s="9">
        <v>210080</v>
      </c>
      <c r="C44" s="9">
        <v>206254</v>
      </c>
      <c r="D44" s="9">
        <v>195236</v>
      </c>
      <c r="E44" s="9">
        <v>187429</v>
      </c>
      <c r="F44" s="9">
        <v>174388</v>
      </c>
      <c r="G44" s="9">
        <v>166844</v>
      </c>
      <c r="H44" s="9">
        <v>163801</v>
      </c>
      <c r="I44" s="78">
        <v>158265.82999999999</v>
      </c>
      <c r="J44" s="9">
        <v>157131.73000000001</v>
      </c>
      <c r="K44" s="9">
        <v>155715.35</v>
      </c>
      <c r="L44" s="18">
        <v>159975.43013436999</v>
      </c>
      <c r="M44" s="21">
        <v>160351.6</v>
      </c>
      <c r="N44" s="23">
        <v>-0.2</v>
      </c>
      <c r="O44" s="23">
        <v>2.7</v>
      </c>
      <c r="P44" s="2" t="s">
        <v>2</v>
      </c>
      <c r="R44" s="59"/>
    </row>
    <row r="45" spans="1:18" ht="24.95" customHeight="1" x14ac:dyDescent="0.2">
      <c r="A45" s="11" t="s">
        <v>199</v>
      </c>
      <c r="B45" s="9">
        <v>1117854</v>
      </c>
      <c r="C45" s="9">
        <v>1112554</v>
      </c>
      <c r="D45" s="9">
        <v>1111069</v>
      </c>
      <c r="E45" s="9">
        <v>1126627</v>
      </c>
      <c r="F45" s="9">
        <v>1142251</v>
      </c>
      <c r="G45" s="9">
        <v>1130056</v>
      </c>
      <c r="H45" s="9">
        <v>1139284</v>
      </c>
      <c r="I45" s="78">
        <v>1183197.6599999999</v>
      </c>
      <c r="J45" s="9">
        <v>1152879.49</v>
      </c>
      <c r="K45" s="9">
        <v>1156031.45</v>
      </c>
      <c r="L45" s="18">
        <v>1111156.14371599</v>
      </c>
      <c r="M45" s="21">
        <v>1152289.7</v>
      </c>
      <c r="N45" s="23">
        <v>-3.6</v>
      </c>
      <c r="O45" s="23">
        <v>-3.9</v>
      </c>
      <c r="P45" s="2" t="s">
        <v>2</v>
      </c>
      <c r="R45" s="59"/>
    </row>
    <row r="46" spans="1:18" ht="24.95" customHeight="1" x14ac:dyDescent="0.25">
      <c r="A46" s="12" t="s">
        <v>200</v>
      </c>
      <c r="B46" s="10">
        <v>1327934</v>
      </c>
      <c r="C46" s="10">
        <v>1318808</v>
      </c>
      <c r="D46" s="10">
        <v>1306305</v>
      </c>
      <c r="E46" s="10">
        <v>1314057</v>
      </c>
      <c r="F46" s="10">
        <v>1316640</v>
      </c>
      <c r="G46" s="10">
        <v>1296900</v>
      </c>
      <c r="H46" s="10">
        <v>1303085</v>
      </c>
      <c r="I46" s="79">
        <v>1341463.49</v>
      </c>
      <c r="J46" s="10">
        <v>1310011.21</v>
      </c>
      <c r="K46" s="10">
        <v>1311746.81</v>
      </c>
      <c r="L46" s="19">
        <v>1271131.57385036</v>
      </c>
      <c r="M46" s="22">
        <v>1312641.3</v>
      </c>
      <c r="N46" s="24">
        <v>-3.2</v>
      </c>
      <c r="O46" s="24">
        <v>-3.1</v>
      </c>
      <c r="P46" s="6" t="s">
        <v>2</v>
      </c>
      <c r="R46" s="59"/>
    </row>
    <row r="47" spans="1:18" ht="24.95" customHeight="1" x14ac:dyDescent="0.25">
      <c r="A47" s="12" t="s">
        <v>201</v>
      </c>
      <c r="B47" s="10">
        <v>1910177</v>
      </c>
      <c r="C47" s="10">
        <v>1910138</v>
      </c>
      <c r="D47" s="10">
        <v>1880154</v>
      </c>
      <c r="E47" s="10">
        <v>1893718</v>
      </c>
      <c r="F47" s="10">
        <v>1899135</v>
      </c>
      <c r="G47" s="10">
        <v>1885701</v>
      </c>
      <c r="H47" s="10">
        <v>1892264</v>
      </c>
      <c r="I47" s="79">
        <v>1928125.99</v>
      </c>
      <c r="J47" s="10">
        <v>1898302.1</v>
      </c>
      <c r="K47" s="10">
        <v>1904449.64</v>
      </c>
      <c r="L47" s="19">
        <v>1837278.4582044899</v>
      </c>
      <c r="M47" s="22">
        <v>1901768.5</v>
      </c>
      <c r="N47" s="24">
        <v>-3.4</v>
      </c>
      <c r="O47" s="24">
        <v>-3.5</v>
      </c>
      <c r="P47" s="6" t="s">
        <v>2</v>
      </c>
      <c r="R47" s="59"/>
    </row>
    <row r="48" spans="1:18" ht="24.95" customHeight="1" x14ac:dyDescent="0.2">
      <c r="A48" s="11" t="s">
        <v>202</v>
      </c>
      <c r="B48" s="9">
        <v>3084581</v>
      </c>
      <c r="C48" s="9">
        <v>3037615</v>
      </c>
      <c r="D48" s="9">
        <v>3044620</v>
      </c>
      <c r="E48" s="9">
        <v>3146714</v>
      </c>
      <c r="F48" s="9">
        <v>3094892</v>
      </c>
      <c r="G48" s="9">
        <v>3072535</v>
      </c>
      <c r="H48" s="9">
        <v>3170391</v>
      </c>
      <c r="I48" s="78">
        <v>2834649.13</v>
      </c>
      <c r="J48" s="9">
        <v>2693305.3</v>
      </c>
      <c r="K48" s="9">
        <v>2681176.36</v>
      </c>
      <c r="L48" s="18">
        <v>2679793.9500000002</v>
      </c>
      <c r="M48" s="21">
        <v>2890411.4</v>
      </c>
      <c r="N48" s="23">
        <v>-7.3</v>
      </c>
      <c r="O48" s="23">
        <v>-0.1</v>
      </c>
      <c r="P48" s="2" t="s">
        <v>2</v>
      </c>
      <c r="R48" s="59"/>
    </row>
    <row r="49" spans="1:18" ht="24.95" customHeight="1" x14ac:dyDescent="0.2">
      <c r="A49" s="11" t="s">
        <v>203</v>
      </c>
      <c r="B49" s="9">
        <v>657394</v>
      </c>
      <c r="C49" s="9">
        <v>620174</v>
      </c>
      <c r="D49" s="9">
        <v>679006</v>
      </c>
      <c r="E49" s="9">
        <v>619194</v>
      </c>
      <c r="F49" s="9">
        <v>646463</v>
      </c>
      <c r="G49" s="9">
        <v>682944</v>
      </c>
      <c r="H49" s="25">
        <v>592483</v>
      </c>
      <c r="I49" s="78">
        <v>567200.06999999995</v>
      </c>
      <c r="J49" s="25">
        <v>564566.43999999994</v>
      </c>
      <c r="K49" s="25">
        <v>440218.9</v>
      </c>
      <c r="L49" s="18">
        <v>645488.06000000006</v>
      </c>
      <c r="M49" s="26">
        <v>569482.5</v>
      </c>
      <c r="N49" s="27">
        <v>13.3</v>
      </c>
      <c r="O49" s="27">
        <v>46.6</v>
      </c>
      <c r="P49" t="s">
        <v>591</v>
      </c>
      <c r="R49" s="59"/>
    </row>
    <row r="50" spans="1:18" ht="24.95" customHeight="1" x14ac:dyDescent="0.25">
      <c r="A50" s="12" t="s">
        <v>204</v>
      </c>
      <c r="B50" s="10">
        <v>5652152</v>
      </c>
      <c r="C50" s="10">
        <v>5567926</v>
      </c>
      <c r="D50" s="10">
        <v>5603780</v>
      </c>
      <c r="E50" s="10">
        <v>5659626</v>
      </c>
      <c r="F50" s="10">
        <v>5640490</v>
      </c>
      <c r="G50" s="10">
        <v>5641180</v>
      </c>
      <c r="H50" s="10">
        <v>5655138</v>
      </c>
      <c r="I50" s="79">
        <v>5329975.1900000004</v>
      </c>
      <c r="J50" s="10">
        <v>5156173.83</v>
      </c>
      <c r="K50" s="10">
        <v>5025844.9000000004</v>
      </c>
      <c r="L50" s="19">
        <v>5162560.4682044899</v>
      </c>
      <c r="M50" s="22">
        <v>5361662.4000000004</v>
      </c>
      <c r="N50" s="24">
        <v>-3.7</v>
      </c>
      <c r="O50" s="24">
        <v>2.7</v>
      </c>
      <c r="P50" s="6" t="s">
        <v>592</v>
      </c>
      <c r="R50" s="59"/>
    </row>
    <row r="51" spans="1:18" ht="24.95" customHeight="1" thickBot="1" x14ac:dyDescent="0.25">
      <c r="A51" s="13" t="s">
        <v>205</v>
      </c>
      <c r="B51" s="9">
        <v>584225</v>
      </c>
      <c r="C51" s="9">
        <v>584062</v>
      </c>
      <c r="D51" s="9">
        <v>579847</v>
      </c>
      <c r="E51" s="9">
        <v>581282</v>
      </c>
      <c r="F51" s="9">
        <v>578763</v>
      </c>
      <c r="G51" s="9">
        <v>575920</v>
      </c>
      <c r="H51" s="9">
        <v>579064</v>
      </c>
      <c r="I51" s="9">
        <v>579108.37</v>
      </c>
      <c r="J51" s="9">
        <v>579047.11</v>
      </c>
      <c r="K51" s="9">
        <v>578720.68000000005</v>
      </c>
      <c r="L51" s="18">
        <v>580597.67000000004</v>
      </c>
      <c r="M51" s="21">
        <v>578372</v>
      </c>
      <c r="N51" s="23">
        <v>0.4</v>
      </c>
      <c r="O51" s="23">
        <v>0.3</v>
      </c>
      <c r="P51" s="2" t="s">
        <v>2</v>
      </c>
      <c r="R51" s="59"/>
    </row>
    <row r="53" spans="1:18" x14ac:dyDescent="0.2">
      <c r="D53" s="81"/>
      <c r="H53" s="54"/>
      <c r="I53" s="54"/>
      <c r="L53" s="54"/>
    </row>
    <row r="54" spans="1:18" x14ac:dyDescent="0.2">
      <c r="D54" s="81"/>
      <c r="I54" s="54"/>
      <c r="J54" s="54"/>
      <c r="K54" s="52"/>
      <c r="L54" s="52"/>
    </row>
    <row r="55" spans="1:18" ht="18" x14ac:dyDescent="0.35">
      <c r="I55" s="72"/>
      <c r="K55" s="51"/>
      <c r="L55" s="72"/>
    </row>
  </sheetData>
  <hyperlinks>
    <hyperlink ref="A5" r:id="rId1"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5"/>
  <sheetViews>
    <sheetView showGridLines="0" zoomScaleNormal="100" workbookViewId="0"/>
  </sheetViews>
  <sheetFormatPr defaultColWidth="11.5546875" defaultRowHeight="15" x14ac:dyDescent="0.2"/>
  <cols>
    <col min="1" max="1" width="50.6640625" customWidth="1"/>
    <col min="2" max="99" width="15.6640625" customWidth="1"/>
  </cols>
  <sheetData>
    <row r="1" spans="1:15" ht="20.25" x14ac:dyDescent="0.3">
      <c r="A1" s="4" t="s">
        <v>206</v>
      </c>
    </row>
    <row r="2" spans="1:15" x14ac:dyDescent="0.2">
      <c r="A2" t="s">
        <v>37</v>
      </c>
    </row>
    <row r="3" spans="1:15" x14ac:dyDescent="0.2">
      <c r="A3" t="s">
        <v>139</v>
      </c>
    </row>
    <row r="4" spans="1:15" x14ac:dyDescent="0.2">
      <c r="A4" s="7" t="str">
        <f>HYPERLINK("#Notes!A1", "Link to Notes table")</f>
        <v>Link to Notes table</v>
      </c>
      <c r="N4" s="55"/>
      <c r="O4" s="55"/>
    </row>
    <row r="5" spans="1:15" ht="15.75" thickBot="1" x14ac:dyDescent="0.25">
      <c r="A5" s="7" t="s">
        <v>140</v>
      </c>
    </row>
    <row r="6" spans="1:15" ht="48" thickBot="1" x14ac:dyDescent="0.3">
      <c r="A6" s="14" t="s">
        <v>207</v>
      </c>
      <c r="B6" s="15" t="s">
        <v>142</v>
      </c>
      <c r="C6" s="15" t="s">
        <v>143</v>
      </c>
      <c r="D6" s="15" t="s">
        <v>144</v>
      </c>
      <c r="E6" s="15" t="s">
        <v>145</v>
      </c>
      <c r="F6" s="15" t="s">
        <v>146</v>
      </c>
      <c r="G6" s="15" t="s">
        <v>147</v>
      </c>
      <c r="H6" s="15" t="s">
        <v>148</v>
      </c>
      <c r="I6" s="15" t="s">
        <v>149</v>
      </c>
      <c r="J6" s="15" t="s">
        <v>150</v>
      </c>
      <c r="K6" s="15" t="s">
        <v>151</v>
      </c>
      <c r="L6" s="17" t="s">
        <v>152</v>
      </c>
      <c r="M6" s="17" t="s">
        <v>153</v>
      </c>
      <c r="N6" s="17" t="s">
        <v>154</v>
      </c>
      <c r="O6" s="17" t="s">
        <v>155</v>
      </c>
    </row>
    <row r="7" spans="1:15" ht="24.95" customHeight="1" x14ac:dyDescent="0.2">
      <c r="A7" s="67" t="s">
        <v>208</v>
      </c>
      <c r="B7" s="9">
        <v>7540</v>
      </c>
      <c r="C7" s="9">
        <v>7808</v>
      </c>
      <c r="D7" s="9">
        <v>8140</v>
      </c>
      <c r="E7" s="9">
        <v>8142</v>
      </c>
      <c r="F7" s="9">
        <v>8907</v>
      </c>
      <c r="G7" s="9">
        <v>9458</v>
      </c>
      <c r="H7" s="9">
        <v>9336</v>
      </c>
      <c r="I7" s="9">
        <v>9258.58</v>
      </c>
      <c r="J7" s="9">
        <v>10079.23</v>
      </c>
      <c r="K7" s="9">
        <v>10420.280000000001</v>
      </c>
      <c r="L7" s="18">
        <v>11315.584671722299</v>
      </c>
      <c r="M7" s="18">
        <v>9710.4</v>
      </c>
      <c r="N7" s="28">
        <v>16.5</v>
      </c>
      <c r="O7" s="28">
        <v>8.6</v>
      </c>
    </row>
    <row r="8" spans="1:15" ht="24.95" customHeight="1" x14ac:dyDescent="0.2">
      <c r="A8" s="67" t="s">
        <v>209</v>
      </c>
      <c r="B8" s="9">
        <v>1789</v>
      </c>
      <c r="C8" s="9">
        <v>1767</v>
      </c>
      <c r="D8" s="9">
        <v>1813</v>
      </c>
      <c r="E8" s="9">
        <v>1800</v>
      </c>
      <c r="F8" s="9">
        <v>2305</v>
      </c>
      <c r="G8" s="9">
        <v>2294</v>
      </c>
      <c r="H8" s="9">
        <v>2225</v>
      </c>
      <c r="I8" s="9">
        <v>2583.6999999999998</v>
      </c>
      <c r="J8" s="9">
        <v>2249.6799999999998</v>
      </c>
      <c r="K8" s="9">
        <v>2313.8000000000002</v>
      </c>
      <c r="L8" s="18">
        <v>3104.78658262306</v>
      </c>
      <c r="M8" s="18">
        <v>2333.1999999999998</v>
      </c>
      <c r="N8" s="28">
        <v>33.1</v>
      </c>
      <c r="O8" s="28">
        <v>34.200000000000003</v>
      </c>
    </row>
    <row r="9" spans="1:15" ht="24.95" customHeight="1" x14ac:dyDescent="0.2">
      <c r="A9" s="67" t="s">
        <v>181</v>
      </c>
      <c r="B9" s="9">
        <v>1491</v>
      </c>
      <c r="C9" s="9">
        <v>1413</v>
      </c>
      <c r="D9" s="9">
        <v>1351</v>
      </c>
      <c r="E9" s="9">
        <v>1359</v>
      </c>
      <c r="F9" s="9">
        <v>1606</v>
      </c>
      <c r="G9" s="9">
        <v>1621</v>
      </c>
      <c r="H9" s="9">
        <v>1483</v>
      </c>
      <c r="I9" s="9">
        <v>1589.06</v>
      </c>
      <c r="J9" s="9">
        <v>1436.86</v>
      </c>
      <c r="K9" s="9">
        <v>1524.14</v>
      </c>
      <c r="L9" s="18">
        <v>1372.62953621067</v>
      </c>
      <c r="M9" s="18">
        <v>1530.8</v>
      </c>
      <c r="N9" s="28">
        <v>-10.3</v>
      </c>
      <c r="O9" s="28">
        <v>-9.9</v>
      </c>
    </row>
    <row r="10" spans="1:15" ht="24.95" customHeight="1" x14ac:dyDescent="0.2">
      <c r="A10" s="11" t="s">
        <v>210</v>
      </c>
      <c r="B10" s="9">
        <v>1575</v>
      </c>
      <c r="C10" s="9">
        <v>1794</v>
      </c>
      <c r="D10" s="9">
        <v>1478</v>
      </c>
      <c r="E10" s="9">
        <v>1487</v>
      </c>
      <c r="F10" s="9">
        <v>1665</v>
      </c>
      <c r="G10" s="9">
        <v>1779</v>
      </c>
      <c r="H10" s="9">
        <v>1233</v>
      </c>
      <c r="I10" s="9">
        <v>1723.21</v>
      </c>
      <c r="J10" s="9">
        <v>1822.56</v>
      </c>
      <c r="K10" s="9">
        <v>1790.43</v>
      </c>
      <c r="L10" s="18">
        <v>1689.66279975418</v>
      </c>
      <c r="M10" s="18">
        <v>1669.6</v>
      </c>
      <c r="N10" s="28">
        <v>1.2</v>
      </c>
      <c r="O10" s="28">
        <v>-5.6</v>
      </c>
    </row>
    <row r="11" spans="1:15" ht="24.95" customHeight="1" x14ac:dyDescent="0.2">
      <c r="A11" s="11" t="s">
        <v>211</v>
      </c>
      <c r="B11" s="9">
        <v>309</v>
      </c>
      <c r="C11" s="9">
        <v>330</v>
      </c>
      <c r="D11" s="9">
        <v>355</v>
      </c>
      <c r="E11" s="9">
        <v>298</v>
      </c>
      <c r="F11" s="9">
        <v>533</v>
      </c>
      <c r="G11" s="9">
        <v>588</v>
      </c>
      <c r="H11" s="9">
        <v>503</v>
      </c>
      <c r="I11" s="9">
        <v>488.4</v>
      </c>
      <c r="J11" s="9">
        <v>461.38812530000001</v>
      </c>
      <c r="K11" s="9">
        <v>587.31184029999997</v>
      </c>
      <c r="L11" s="18">
        <v>482.91162601441101</v>
      </c>
      <c r="M11" s="18">
        <v>525.6</v>
      </c>
      <c r="N11" s="28">
        <v>-8.1</v>
      </c>
      <c r="O11" s="28">
        <v>-17.8</v>
      </c>
    </row>
    <row r="12" spans="1:15" ht="24.95" customHeight="1" x14ac:dyDescent="0.2">
      <c r="A12" s="11" t="s">
        <v>212</v>
      </c>
      <c r="B12" s="9">
        <v>3252</v>
      </c>
      <c r="C12" s="9">
        <v>3752</v>
      </c>
      <c r="D12" s="9">
        <v>3460</v>
      </c>
      <c r="E12" s="9">
        <v>3325</v>
      </c>
      <c r="F12" s="9">
        <v>3207</v>
      </c>
      <c r="G12" s="9">
        <v>3450</v>
      </c>
      <c r="H12" s="9">
        <v>3570</v>
      </c>
      <c r="I12" s="9">
        <v>3256.87</v>
      </c>
      <c r="J12" s="9">
        <v>3283.68</v>
      </c>
      <c r="K12" s="9">
        <v>3515.17</v>
      </c>
      <c r="L12" s="18">
        <v>3848.2308969229898</v>
      </c>
      <c r="M12" s="18">
        <v>3415.1</v>
      </c>
      <c r="N12" s="28">
        <v>12.7</v>
      </c>
      <c r="O12" s="28">
        <v>9.5</v>
      </c>
    </row>
    <row r="13" spans="1:15" ht="24.95" customHeight="1" x14ac:dyDescent="0.2">
      <c r="A13" s="67" t="s">
        <v>213</v>
      </c>
      <c r="B13" s="9">
        <v>2211</v>
      </c>
      <c r="C13" s="9">
        <v>2472</v>
      </c>
      <c r="D13" s="9">
        <v>2292</v>
      </c>
      <c r="E13" s="9">
        <v>2214</v>
      </c>
      <c r="F13" s="9">
        <v>2773</v>
      </c>
      <c r="G13" s="9">
        <v>2876</v>
      </c>
      <c r="H13" s="9">
        <v>2706</v>
      </c>
      <c r="I13" s="9">
        <v>2546.75</v>
      </c>
      <c r="J13" s="9">
        <v>2610.87</v>
      </c>
      <c r="K13" s="9">
        <v>2521.16</v>
      </c>
      <c r="L13" s="18">
        <v>2486.3055904172802</v>
      </c>
      <c r="M13" s="18">
        <v>2652.2</v>
      </c>
      <c r="N13" s="28">
        <v>-6.3</v>
      </c>
      <c r="O13" s="28">
        <v>-1.4</v>
      </c>
    </row>
    <row r="14" spans="1:15" ht="24.95" customHeight="1" x14ac:dyDescent="0.25">
      <c r="A14" s="12" t="s">
        <v>214</v>
      </c>
      <c r="B14" s="10">
        <v>18168</v>
      </c>
      <c r="C14" s="10">
        <v>19336</v>
      </c>
      <c r="D14" s="10">
        <v>18888</v>
      </c>
      <c r="E14" s="10">
        <v>18624</v>
      </c>
      <c r="F14" s="10">
        <v>20996</v>
      </c>
      <c r="G14" s="10">
        <v>22066</v>
      </c>
      <c r="H14" s="10">
        <v>21057</v>
      </c>
      <c r="I14" s="10">
        <v>21446.57</v>
      </c>
      <c r="J14" s="10">
        <v>21944.27</v>
      </c>
      <c r="K14" s="10">
        <v>22672.29</v>
      </c>
      <c r="L14" s="19">
        <v>24300.111703664901</v>
      </c>
      <c r="M14" s="19">
        <v>21837.200000000001</v>
      </c>
      <c r="N14" s="29">
        <v>11.3</v>
      </c>
      <c r="O14" s="29">
        <v>7.2</v>
      </c>
    </row>
    <row r="15" spans="1:15" ht="24.95" customHeight="1" x14ac:dyDescent="0.2">
      <c r="A15" s="67" t="s">
        <v>215</v>
      </c>
      <c r="B15" s="9">
        <v>942</v>
      </c>
      <c r="C15" s="9">
        <v>964</v>
      </c>
      <c r="D15" s="9">
        <v>960</v>
      </c>
      <c r="E15" s="9">
        <v>976</v>
      </c>
      <c r="F15" s="9">
        <v>1341</v>
      </c>
      <c r="G15" s="9">
        <v>1518</v>
      </c>
      <c r="H15" s="9">
        <v>1421</v>
      </c>
      <c r="I15" s="9">
        <v>1186.93</v>
      </c>
      <c r="J15" s="9">
        <v>1342.21</v>
      </c>
      <c r="K15" s="9">
        <v>1429.56</v>
      </c>
      <c r="L15" s="18">
        <v>1342.8104294401401</v>
      </c>
      <c r="M15" s="18">
        <v>1379.5</v>
      </c>
      <c r="N15" s="28">
        <v>-2.7</v>
      </c>
      <c r="O15" s="28">
        <v>-6.1</v>
      </c>
    </row>
    <row r="16" spans="1:15" ht="24.95" customHeight="1" x14ac:dyDescent="0.2">
      <c r="A16" s="67" t="s">
        <v>216</v>
      </c>
      <c r="B16" s="9">
        <v>73</v>
      </c>
      <c r="C16" s="9">
        <v>77</v>
      </c>
      <c r="D16" s="9">
        <v>27</v>
      </c>
      <c r="E16" s="9">
        <v>32</v>
      </c>
      <c r="F16" s="9">
        <v>29</v>
      </c>
      <c r="G16" s="9">
        <v>36</v>
      </c>
      <c r="H16" s="9">
        <v>43</v>
      </c>
      <c r="I16" s="9">
        <v>23.04</v>
      </c>
      <c r="J16" s="9">
        <v>29.377956810000001</v>
      </c>
      <c r="K16" s="9">
        <v>29.29610422</v>
      </c>
      <c r="L16" s="18">
        <v>35.990763493111899</v>
      </c>
      <c r="M16" s="18">
        <v>32.1</v>
      </c>
      <c r="N16" s="28">
        <v>12.1</v>
      </c>
      <c r="O16" s="28">
        <v>22.9</v>
      </c>
    </row>
    <row r="17" spans="1:15" ht="24.95" customHeight="1" x14ac:dyDescent="0.2">
      <c r="A17" s="67" t="s">
        <v>217</v>
      </c>
      <c r="B17" s="9">
        <v>128</v>
      </c>
      <c r="C17" s="9">
        <v>127</v>
      </c>
      <c r="D17" s="9">
        <v>109</v>
      </c>
      <c r="E17" s="9">
        <v>89</v>
      </c>
      <c r="F17" s="9">
        <v>72</v>
      </c>
      <c r="G17" s="9">
        <v>91</v>
      </c>
      <c r="H17" s="9">
        <v>105</v>
      </c>
      <c r="I17" s="9">
        <v>67.98</v>
      </c>
      <c r="J17" s="9">
        <v>58.616230719999997</v>
      </c>
      <c r="K17" s="9">
        <v>40.180749659999996</v>
      </c>
      <c r="L17" s="18">
        <v>31.751365766828901</v>
      </c>
      <c r="M17" s="18">
        <v>72.599999999999994</v>
      </c>
      <c r="N17" s="28">
        <v>-56.3</v>
      </c>
      <c r="O17" s="28">
        <v>-21</v>
      </c>
    </row>
    <row r="18" spans="1:15" ht="24.95" customHeight="1" x14ac:dyDescent="0.2">
      <c r="A18" s="67" t="s">
        <v>218</v>
      </c>
      <c r="B18" s="9">
        <v>18</v>
      </c>
      <c r="C18" s="9">
        <v>25</v>
      </c>
      <c r="D18" s="9">
        <v>30</v>
      </c>
      <c r="E18" s="9">
        <v>30</v>
      </c>
      <c r="F18" s="9">
        <v>25</v>
      </c>
      <c r="G18" s="9">
        <v>27</v>
      </c>
      <c r="H18" s="9">
        <v>24</v>
      </c>
      <c r="I18" s="9">
        <v>20.93</v>
      </c>
      <c r="J18" s="9">
        <v>18.571619479999999</v>
      </c>
      <c r="K18" s="9">
        <v>14.89459222</v>
      </c>
      <c r="L18" s="18">
        <v>15.429287896158399</v>
      </c>
      <c r="M18" s="18">
        <v>21.1</v>
      </c>
      <c r="N18" s="28">
        <v>-26.9</v>
      </c>
      <c r="O18" s="28">
        <v>3.6</v>
      </c>
    </row>
    <row r="19" spans="1:15" ht="24.95" customHeight="1" x14ac:dyDescent="0.2">
      <c r="A19" s="67" t="s">
        <v>219</v>
      </c>
      <c r="B19" s="9">
        <v>386</v>
      </c>
      <c r="C19" s="9">
        <v>487</v>
      </c>
      <c r="D19" s="9">
        <v>397</v>
      </c>
      <c r="E19" s="9">
        <v>391</v>
      </c>
      <c r="F19" s="9">
        <v>435</v>
      </c>
      <c r="G19" s="9">
        <v>442</v>
      </c>
      <c r="H19" s="9">
        <v>450</v>
      </c>
      <c r="I19" s="9">
        <v>485.71</v>
      </c>
      <c r="J19" s="9">
        <v>508.92700630000002</v>
      </c>
      <c r="K19" s="9">
        <v>536.10739269999999</v>
      </c>
      <c r="L19" s="18">
        <v>561.85851946243395</v>
      </c>
      <c r="M19" s="18">
        <v>484.5</v>
      </c>
      <c r="N19" s="28">
        <v>16</v>
      </c>
      <c r="O19" s="28">
        <v>4.8</v>
      </c>
    </row>
    <row r="20" spans="1:15" ht="24.95" customHeight="1" x14ac:dyDescent="0.25">
      <c r="A20" s="12" t="s">
        <v>220</v>
      </c>
      <c r="B20" s="10">
        <v>604</v>
      </c>
      <c r="C20" s="10">
        <v>716</v>
      </c>
      <c r="D20" s="10">
        <v>563</v>
      </c>
      <c r="E20" s="10">
        <v>541</v>
      </c>
      <c r="F20" s="10">
        <v>561</v>
      </c>
      <c r="G20" s="10">
        <v>596</v>
      </c>
      <c r="H20" s="10">
        <v>621</v>
      </c>
      <c r="I20" s="10">
        <v>597.66</v>
      </c>
      <c r="J20" s="10">
        <v>615.49281329999997</v>
      </c>
      <c r="K20" s="10">
        <v>620.47883879999995</v>
      </c>
      <c r="L20" s="19">
        <v>645.02993661853304</v>
      </c>
      <c r="M20" s="19">
        <v>610.1</v>
      </c>
      <c r="N20" s="29">
        <v>5.7</v>
      </c>
      <c r="O20" s="29">
        <v>4</v>
      </c>
    </row>
    <row r="21" spans="1:15" ht="24.95" customHeight="1" x14ac:dyDescent="0.2">
      <c r="A21" s="67" t="s">
        <v>221</v>
      </c>
      <c r="B21" s="9">
        <v>2</v>
      </c>
      <c r="C21" s="9">
        <v>3</v>
      </c>
      <c r="D21" s="9">
        <v>3</v>
      </c>
      <c r="E21" s="9">
        <v>3</v>
      </c>
      <c r="F21" s="9">
        <v>3</v>
      </c>
      <c r="G21" s="9">
        <v>2</v>
      </c>
      <c r="H21" s="9">
        <v>1</v>
      </c>
      <c r="I21" s="9">
        <v>0.53100000000000003</v>
      </c>
      <c r="J21" s="9">
        <v>3.0334584150000001</v>
      </c>
      <c r="K21" s="9">
        <v>3.1579058940000002</v>
      </c>
      <c r="L21" s="18">
        <v>0.94906753953188905</v>
      </c>
      <c r="M21" s="18">
        <v>1.9</v>
      </c>
      <c r="N21" s="28">
        <v>-50</v>
      </c>
      <c r="O21" s="28">
        <v>-69.900000000000006</v>
      </c>
    </row>
    <row r="22" spans="1:15" ht="24.95" customHeight="1" x14ac:dyDescent="0.2">
      <c r="A22" s="67" t="s">
        <v>222</v>
      </c>
      <c r="B22" s="9">
        <v>920</v>
      </c>
      <c r="C22" s="9">
        <v>981</v>
      </c>
      <c r="D22" s="9">
        <v>1106</v>
      </c>
      <c r="E22" s="9">
        <v>1100</v>
      </c>
      <c r="F22" s="9">
        <v>1165</v>
      </c>
      <c r="G22" s="9">
        <v>1151</v>
      </c>
      <c r="H22" s="9">
        <v>1065</v>
      </c>
      <c r="I22" s="9">
        <v>992.11</v>
      </c>
      <c r="J22" s="9">
        <v>969.42049729999997</v>
      </c>
      <c r="K22" s="9">
        <v>928.55621389999999</v>
      </c>
      <c r="L22" s="18">
        <v>821.47552585302299</v>
      </c>
      <c r="M22" s="18">
        <v>1021.2</v>
      </c>
      <c r="N22" s="28">
        <v>-19.600000000000001</v>
      </c>
      <c r="O22" s="28">
        <v>-11.5</v>
      </c>
    </row>
    <row r="23" spans="1:15" ht="24.95" customHeight="1" x14ac:dyDescent="0.2">
      <c r="A23" s="67" t="s">
        <v>223</v>
      </c>
      <c r="B23" s="9">
        <v>199</v>
      </c>
      <c r="C23" s="9">
        <v>172</v>
      </c>
      <c r="D23" s="9">
        <v>162</v>
      </c>
      <c r="E23" s="9">
        <v>165</v>
      </c>
      <c r="F23" s="9">
        <v>169</v>
      </c>
      <c r="G23" s="9">
        <v>152</v>
      </c>
      <c r="H23" s="9">
        <v>141</v>
      </c>
      <c r="I23" s="9">
        <v>131.13999999999999</v>
      </c>
      <c r="J23" s="9">
        <v>131.4670802</v>
      </c>
      <c r="K23" s="9">
        <v>154.85218889999999</v>
      </c>
      <c r="L23" s="18">
        <v>170.446474058566</v>
      </c>
      <c r="M23" s="18">
        <v>142.1</v>
      </c>
      <c r="N23" s="28">
        <v>19.899999999999999</v>
      </c>
      <c r="O23" s="28">
        <v>10.1</v>
      </c>
    </row>
    <row r="24" spans="1:15" ht="24.95" customHeight="1" x14ac:dyDescent="0.2">
      <c r="A24" s="67" t="s">
        <v>224</v>
      </c>
      <c r="B24" s="9">
        <v>115</v>
      </c>
      <c r="C24" s="9">
        <v>159</v>
      </c>
      <c r="D24" s="9">
        <v>189</v>
      </c>
      <c r="E24" s="9">
        <v>205</v>
      </c>
      <c r="F24" s="9">
        <v>239</v>
      </c>
      <c r="G24" s="9">
        <v>226</v>
      </c>
      <c r="H24" s="9">
        <v>217</v>
      </c>
      <c r="I24" s="9">
        <v>219.71</v>
      </c>
      <c r="J24" s="9">
        <v>220.32649420000001</v>
      </c>
      <c r="K24" s="9">
        <v>207.2062162</v>
      </c>
      <c r="L24" s="18">
        <v>165.913076791827</v>
      </c>
      <c r="M24" s="18">
        <v>218</v>
      </c>
      <c r="N24" s="28">
        <v>-23.9</v>
      </c>
      <c r="O24" s="28">
        <v>-19.899999999999999</v>
      </c>
    </row>
    <row r="25" spans="1:15" ht="24.95" customHeight="1" x14ac:dyDescent="0.2">
      <c r="A25" s="67" t="s">
        <v>225</v>
      </c>
      <c r="B25" s="9">
        <v>39</v>
      </c>
      <c r="C25" s="9">
        <v>34</v>
      </c>
      <c r="D25" s="9">
        <v>34</v>
      </c>
      <c r="E25" s="9">
        <v>22</v>
      </c>
      <c r="F25" s="9">
        <v>34</v>
      </c>
      <c r="G25" s="9">
        <v>35</v>
      </c>
      <c r="H25" s="9">
        <v>38</v>
      </c>
      <c r="I25" s="9">
        <v>18.45</v>
      </c>
      <c r="J25" s="9">
        <v>22.78701839</v>
      </c>
      <c r="K25" s="9">
        <v>15.93723977</v>
      </c>
      <c r="L25" s="18">
        <v>4.8678097376803997</v>
      </c>
      <c r="M25" s="18">
        <v>26</v>
      </c>
      <c r="N25" s="28">
        <v>-81.3</v>
      </c>
      <c r="O25" s="28">
        <v>-69.5</v>
      </c>
    </row>
    <row r="26" spans="1:15" ht="24.95" customHeight="1" x14ac:dyDescent="0.2">
      <c r="A26" s="67" t="s">
        <v>226</v>
      </c>
      <c r="B26" s="9">
        <v>10</v>
      </c>
      <c r="C26" s="9">
        <v>20</v>
      </c>
      <c r="D26" s="9">
        <v>14</v>
      </c>
      <c r="E26" s="9">
        <v>12</v>
      </c>
      <c r="F26" s="9">
        <v>23</v>
      </c>
      <c r="G26" s="9">
        <v>17</v>
      </c>
      <c r="H26" s="9">
        <v>17</v>
      </c>
      <c r="I26" s="9">
        <v>3.25</v>
      </c>
      <c r="J26" s="9">
        <v>14.53235039</v>
      </c>
      <c r="K26" s="9">
        <v>13.559620649999999</v>
      </c>
      <c r="L26" s="18">
        <v>4.31924775935867</v>
      </c>
      <c r="M26" s="18">
        <v>13.1</v>
      </c>
      <c r="N26" s="28">
        <v>-67</v>
      </c>
      <c r="O26" s="28">
        <v>-68.099999999999994</v>
      </c>
    </row>
    <row r="27" spans="1:15" ht="24.95" customHeight="1" x14ac:dyDescent="0.2">
      <c r="A27" s="67" t="s">
        <v>227</v>
      </c>
      <c r="B27" s="9">
        <v>14</v>
      </c>
      <c r="C27" s="9">
        <v>14</v>
      </c>
      <c r="D27" s="9">
        <v>17</v>
      </c>
      <c r="E27" s="9">
        <v>19</v>
      </c>
      <c r="F27" s="9">
        <v>18</v>
      </c>
      <c r="G27" s="9">
        <v>14</v>
      </c>
      <c r="H27" s="9">
        <v>14</v>
      </c>
      <c r="I27" s="9">
        <v>3.16</v>
      </c>
      <c r="J27" s="9">
        <v>5.2509216280000004</v>
      </c>
      <c r="K27" s="9">
        <v>5.9149861670000003</v>
      </c>
      <c r="L27" s="18">
        <v>6.6650081883950101</v>
      </c>
      <c r="M27" s="18">
        <v>8.5</v>
      </c>
      <c r="N27" s="28">
        <v>-21.6</v>
      </c>
      <c r="O27" s="28">
        <v>12.7</v>
      </c>
    </row>
    <row r="28" spans="1:15" ht="24.95" customHeight="1" x14ac:dyDescent="0.2">
      <c r="A28" s="67" t="s">
        <v>228</v>
      </c>
      <c r="B28" s="9">
        <v>12</v>
      </c>
      <c r="C28" s="9">
        <v>21</v>
      </c>
      <c r="D28" s="9">
        <v>14</v>
      </c>
      <c r="E28" s="9">
        <v>24</v>
      </c>
      <c r="F28" s="9">
        <v>21</v>
      </c>
      <c r="G28" s="9">
        <v>21</v>
      </c>
      <c r="H28" s="9">
        <v>21</v>
      </c>
      <c r="I28" s="9">
        <v>9.18</v>
      </c>
      <c r="J28" s="9">
        <v>34.957789519999999</v>
      </c>
      <c r="K28" s="9">
        <v>32.215776980000001</v>
      </c>
      <c r="L28" s="18">
        <v>11.324946861659001</v>
      </c>
      <c r="M28" s="18">
        <v>23.7</v>
      </c>
      <c r="N28" s="28">
        <v>-52.2</v>
      </c>
      <c r="O28" s="28">
        <v>-64.8</v>
      </c>
    </row>
    <row r="29" spans="1:15" ht="24.95" customHeight="1" x14ac:dyDescent="0.2">
      <c r="A29" s="67" t="s">
        <v>229</v>
      </c>
      <c r="B29" s="9">
        <v>23</v>
      </c>
      <c r="C29" s="9">
        <v>11</v>
      </c>
      <c r="D29" s="9">
        <v>14</v>
      </c>
      <c r="E29" s="9">
        <v>5</v>
      </c>
      <c r="F29" s="9">
        <v>4</v>
      </c>
      <c r="G29" s="9">
        <v>6</v>
      </c>
      <c r="H29" s="9">
        <v>6</v>
      </c>
      <c r="I29" s="9">
        <v>27.456029399999998</v>
      </c>
      <c r="J29" s="9">
        <v>28.352086400000001</v>
      </c>
      <c r="K29" s="9">
        <v>24.904140000000002</v>
      </c>
      <c r="L29" s="18">
        <v>65.332639999999998</v>
      </c>
      <c r="M29" s="18">
        <v>18.5</v>
      </c>
      <c r="N29" s="28">
        <v>253.1</v>
      </c>
      <c r="O29" s="28">
        <v>162.30000000000001</v>
      </c>
    </row>
    <row r="30" spans="1:15" ht="24.95" customHeight="1" x14ac:dyDescent="0.25">
      <c r="A30" s="12" t="s">
        <v>230</v>
      </c>
      <c r="B30" s="10">
        <v>1332</v>
      </c>
      <c r="C30" s="10">
        <v>1415</v>
      </c>
      <c r="D30" s="10">
        <v>1547</v>
      </c>
      <c r="E30" s="10">
        <v>1555</v>
      </c>
      <c r="F30" s="10">
        <v>1669</v>
      </c>
      <c r="G30" s="10">
        <v>1622</v>
      </c>
      <c r="H30" s="10">
        <v>1519</v>
      </c>
      <c r="I30" s="10">
        <v>1411.54</v>
      </c>
      <c r="J30" s="10">
        <v>1472.67</v>
      </c>
      <c r="K30" s="10">
        <v>1422.74</v>
      </c>
      <c r="L30" s="19">
        <v>1251.29379679004</v>
      </c>
      <c r="M30" s="19">
        <v>1489.6</v>
      </c>
      <c r="N30" s="29">
        <v>-16</v>
      </c>
      <c r="O30" s="29">
        <v>-12.1</v>
      </c>
    </row>
    <row r="31" spans="1:15" ht="24.95" customHeight="1" x14ac:dyDescent="0.2">
      <c r="A31" s="67" t="s">
        <v>231</v>
      </c>
      <c r="B31" s="9">
        <v>993</v>
      </c>
      <c r="C31" s="9">
        <v>1058</v>
      </c>
      <c r="D31" s="9">
        <v>1133</v>
      </c>
      <c r="E31" s="9">
        <v>1132</v>
      </c>
      <c r="F31" s="9">
        <v>1194</v>
      </c>
      <c r="G31" s="9">
        <v>1187</v>
      </c>
      <c r="H31" s="9">
        <v>1108</v>
      </c>
      <c r="I31" s="9">
        <v>1015.15</v>
      </c>
      <c r="J31" s="9">
        <v>998.79845420000004</v>
      </c>
      <c r="K31" s="9">
        <v>957.85231810000005</v>
      </c>
      <c r="L31" s="18">
        <v>857.466289346135</v>
      </c>
      <c r="M31" s="18">
        <v>1053.4000000000001</v>
      </c>
      <c r="N31" s="28">
        <v>-18.600000000000001</v>
      </c>
      <c r="O31" s="28">
        <v>-10.5</v>
      </c>
    </row>
    <row r="32" spans="1:15" ht="24.95" customHeight="1" x14ac:dyDescent="0.2">
      <c r="A32" s="67" t="s">
        <v>232</v>
      </c>
      <c r="B32" s="9">
        <v>326</v>
      </c>
      <c r="C32" s="9">
        <v>299</v>
      </c>
      <c r="D32" s="9">
        <v>271</v>
      </c>
      <c r="E32" s="9">
        <v>254</v>
      </c>
      <c r="F32" s="9">
        <v>241</v>
      </c>
      <c r="G32" s="9">
        <v>243</v>
      </c>
      <c r="H32" s="9">
        <v>245</v>
      </c>
      <c r="I32" s="9">
        <v>199.12</v>
      </c>
      <c r="J32" s="9">
        <v>190.08331089999999</v>
      </c>
      <c r="K32" s="9">
        <v>195.03293859999999</v>
      </c>
      <c r="L32" s="18">
        <v>202.19783982539499</v>
      </c>
      <c r="M32" s="18">
        <v>214.4</v>
      </c>
      <c r="N32" s="28">
        <v>-5.7</v>
      </c>
      <c r="O32" s="28">
        <v>3.7</v>
      </c>
    </row>
    <row r="33" spans="1:15" ht="24.95" customHeight="1" x14ac:dyDescent="0.2">
      <c r="A33" s="67" t="s">
        <v>233</v>
      </c>
      <c r="B33" s="9">
        <v>302</v>
      </c>
      <c r="C33" s="9">
        <v>321</v>
      </c>
      <c r="D33" s="9">
        <v>279</v>
      </c>
      <c r="E33" s="9">
        <v>270</v>
      </c>
      <c r="F33" s="9">
        <v>297</v>
      </c>
      <c r="G33" s="9">
        <v>320</v>
      </c>
      <c r="H33" s="9">
        <v>347</v>
      </c>
      <c r="I33" s="9">
        <v>380.75</v>
      </c>
      <c r="J33" s="9">
        <v>370.67565309999998</v>
      </c>
      <c r="K33" s="9">
        <v>386.58157390000002</v>
      </c>
      <c r="L33" s="18">
        <v>408.36457793186202</v>
      </c>
      <c r="M33" s="18">
        <v>361</v>
      </c>
      <c r="N33" s="28">
        <v>13.1</v>
      </c>
      <c r="O33" s="28">
        <v>5.6</v>
      </c>
    </row>
    <row r="34" spans="1:15" ht="24.95" customHeight="1" x14ac:dyDescent="0.2">
      <c r="A34" s="67" t="s">
        <v>234</v>
      </c>
      <c r="B34" s="9">
        <v>132</v>
      </c>
      <c r="C34" s="9">
        <v>183</v>
      </c>
      <c r="D34" s="9">
        <v>219</v>
      </c>
      <c r="E34" s="9">
        <v>235</v>
      </c>
      <c r="F34" s="9">
        <v>265</v>
      </c>
      <c r="G34" s="9">
        <v>253</v>
      </c>
      <c r="H34" s="9">
        <v>241</v>
      </c>
      <c r="I34" s="9">
        <v>240.64</v>
      </c>
      <c r="J34" s="9">
        <v>238.89811370000001</v>
      </c>
      <c r="K34" s="9">
        <v>222.10080840000001</v>
      </c>
      <c r="L34" s="18">
        <v>181.342364687985</v>
      </c>
      <c r="M34" s="18">
        <v>239.1</v>
      </c>
      <c r="N34" s="28">
        <v>-24.2</v>
      </c>
      <c r="O34" s="28">
        <v>-18.399999999999999</v>
      </c>
    </row>
    <row r="35" spans="1:15" ht="24.95" customHeight="1" x14ac:dyDescent="0.2">
      <c r="A35" s="67" t="s">
        <v>235</v>
      </c>
      <c r="B35" s="9">
        <v>2</v>
      </c>
      <c r="C35" s="9">
        <v>3</v>
      </c>
      <c r="D35" s="9">
        <v>3</v>
      </c>
      <c r="E35" s="9">
        <v>3</v>
      </c>
      <c r="F35" s="9">
        <v>3</v>
      </c>
      <c r="G35" s="9">
        <v>2</v>
      </c>
      <c r="H35" s="9">
        <v>1</v>
      </c>
      <c r="I35" s="9">
        <v>0.53100000000000003</v>
      </c>
      <c r="J35" s="9">
        <v>3.0334584150000001</v>
      </c>
      <c r="K35" s="9">
        <v>3.1579058940000002</v>
      </c>
      <c r="L35" s="18">
        <v>0.94906753953188905</v>
      </c>
      <c r="M35" s="18">
        <v>1.9</v>
      </c>
      <c r="N35" s="28">
        <v>-50</v>
      </c>
      <c r="O35" s="28">
        <v>-69.900000000000006</v>
      </c>
    </row>
    <row r="36" spans="1:15" ht="24.95" customHeight="1" x14ac:dyDescent="0.2">
      <c r="A36" s="67" t="s">
        <v>236</v>
      </c>
      <c r="B36" s="9">
        <v>122</v>
      </c>
      <c r="C36" s="9">
        <v>200</v>
      </c>
      <c r="D36" s="9">
        <v>152</v>
      </c>
      <c r="E36" s="9">
        <v>143</v>
      </c>
      <c r="F36" s="9">
        <v>172</v>
      </c>
      <c r="G36" s="9">
        <v>157</v>
      </c>
      <c r="H36" s="9">
        <v>140</v>
      </c>
      <c r="I36" s="9">
        <v>123.41</v>
      </c>
      <c r="J36" s="9">
        <v>161.0383716</v>
      </c>
      <c r="K36" s="9">
        <v>165.46305849999999</v>
      </c>
      <c r="L36" s="18">
        <v>158.36175126825199</v>
      </c>
      <c r="M36" s="18">
        <v>149.4</v>
      </c>
      <c r="N36" s="28">
        <v>6</v>
      </c>
      <c r="O36" s="28">
        <v>-4.3</v>
      </c>
    </row>
    <row r="37" spans="1:15" ht="24.95" customHeight="1" x14ac:dyDescent="0.25">
      <c r="A37" s="12" t="s">
        <v>237</v>
      </c>
      <c r="B37" s="10">
        <v>1878</v>
      </c>
      <c r="C37" s="10">
        <v>2064</v>
      </c>
      <c r="D37" s="10">
        <v>2057</v>
      </c>
      <c r="E37" s="10">
        <v>2037</v>
      </c>
      <c r="F37" s="10">
        <v>2172</v>
      </c>
      <c r="G37" s="10">
        <v>2161</v>
      </c>
      <c r="H37" s="10">
        <v>2083</v>
      </c>
      <c r="I37" s="10">
        <v>1959.6</v>
      </c>
      <c r="J37" s="10">
        <v>1962.53</v>
      </c>
      <c r="K37" s="10">
        <v>1930.19</v>
      </c>
      <c r="L37" s="19">
        <v>1808.6818905991599</v>
      </c>
      <c r="M37" s="19">
        <v>2019.3</v>
      </c>
      <c r="N37" s="29">
        <v>-10.4</v>
      </c>
      <c r="O37" s="29">
        <v>-6.3</v>
      </c>
    </row>
    <row r="38" spans="1:15" ht="24.95" customHeight="1" x14ac:dyDescent="0.2">
      <c r="A38" s="67" t="s">
        <v>238</v>
      </c>
      <c r="B38" s="9">
        <v>1295</v>
      </c>
      <c r="C38" s="9">
        <v>1376</v>
      </c>
      <c r="D38" s="9">
        <v>1512</v>
      </c>
      <c r="E38" s="9">
        <v>1497</v>
      </c>
      <c r="F38" s="9">
        <v>1633</v>
      </c>
      <c r="G38" s="9">
        <v>1590</v>
      </c>
      <c r="H38" s="9">
        <v>1486</v>
      </c>
      <c r="I38" s="9">
        <v>1321.31</v>
      </c>
      <c r="J38" s="9">
        <v>1369.1</v>
      </c>
      <c r="K38" s="9">
        <v>1328.03</v>
      </c>
      <c r="L38" s="18">
        <v>1225.79188025454</v>
      </c>
      <c r="M38" s="18">
        <v>1418.9</v>
      </c>
      <c r="N38" s="28">
        <v>-13.6</v>
      </c>
      <c r="O38" s="28">
        <v>-7.7</v>
      </c>
    </row>
    <row r="39" spans="1:15" ht="24.95" customHeight="1" thickBot="1" x14ac:dyDescent="0.25">
      <c r="A39" s="63" t="s">
        <v>239</v>
      </c>
      <c r="B39" s="9">
        <v>37</v>
      </c>
      <c r="C39" s="9">
        <v>39</v>
      </c>
      <c r="D39" s="9">
        <v>35</v>
      </c>
      <c r="E39" s="9">
        <v>57</v>
      </c>
      <c r="F39" s="9">
        <v>36</v>
      </c>
      <c r="G39" s="9">
        <v>32</v>
      </c>
      <c r="H39" s="9">
        <v>34</v>
      </c>
      <c r="I39" s="9">
        <v>90.232496499999996</v>
      </c>
      <c r="J39" s="9">
        <v>103.573001</v>
      </c>
      <c r="K39" s="9">
        <v>94.714984200000004</v>
      </c>
      <c r="L39" s="18">
        <v>25.501916535499198</v>
      </c>
      <c r="M39" s="18">
        <v>70.900000000000006</v>
      </c>
      <c r="N39" s="28">
        <v>-64</v>
      </c>
      <c r="O39" s="28">
        <v>-73.099999999999994</v>
      </c>
    </row>
    <row r="41" spans="1:15" x14ac:dyDescent="0.2">
      <c r="B41" s="55"/>
    </row>
    <row r="42" spans="1:15" x14ac:dyDescent="0.2">
      <c r="B42" s="56"/>
      <c r="L42" s="54"/>
    </row>
    <row r="45" spans="1:15" x14ac:dyDescent="0.2">
      <c r="C45" s="8"/>
    </row>
    <row r="46" spans="1:15" x14ac:dyDescent="0.2">
      <c r="D46" s="8"/>
      <c r="E46" s="8"/>
    </row>
    <row r="47" spans="1:15" x14ac:dyDescent="0.2">
      <c r="C47" s="8"/>
      <c r="D47" s="8"/>
      <c r="E47" s="8"/>
    </row>
    <row r="48" spans="1:15" x14ac:dyDescent="0.2">
      <c r="C48" s="8"/>
    </row>
    <row r="49" spans="3:7" x14ac:dyDescent="0.2">
      <c r="C49" s="8"/>
    </row>
    <row r="53" spans="3:7" x14ac:dyDescent="0.2">
      <c r="C53" s="8"/>
    </row>
    <row r="54" spans="3:7" x14ac:dyDescent="0.2">
      <c r="D54" s="8"/>
      <c r="E54" s="8"/>
    </row>
    <row r="55" spans="3:7" x14ac:dyDescent="0.2">
      <c r="C55" s="8"/>
      <c r="D55" s="8"/>
      <c r="E55" s="8"/>
    </row>
    <row r="56" spans="3:7" x14ac:dyDescent="0.2">
      <c r="C56" s="8"/>
    </row>
    <row r="57" spans="3:7" x14ac:dyDescent="0.2">
      <c r="C57" s="8"/>
    </row>
    <row r="62" spans="3:7" x14ac:dyDescent="0.2">
      <c r="D62" s="8"/>
      <c r="E62" s="8"/>
    </row>
    <row r="63" spans="3:7" x14ac:dyDescent="0.2">
      <c r="C63" s="8"/>
      <c r="D63" s="8"/>
      <c r="E63" s="8"/>
      <c r="G63" s="55"/>
    </row>
    <row r="64" spans="3:7" x14ac:dyDescent="0.2">
      <c r="C64" s="8"/>
      <c r="G64" s="55"/>
    </row>
    <row r="65" spans="3:7" x14ac:dyDescent="0.2">
      <c r="C65" s="8"/>
      <c r="G65" s="55"/>
    </row>
    <row r="66" spans="3:7" x14ac:dyDescent="0.2">
      <c r="C66" s="8"/>
      <c r="G66" s="55"/>
    </row>
    <row r="69" spans="3:7" x14ac:dyDescent="0.2">
      <c r="D69" s="8"/>
      <c r="E69" s="8"/>
    </row>
    <row r="70" spans="3:7" x14ac:dyDescent="0.2">
      <c r="C70" s="8"/>
      <c r="D70" s="8"/>
      <c r="E70" s="8"/>
      <c r="G70" s="55"/>
    </row>
    <row r="71" spans="3:7" x14ac:dyDescent="0.2">
      <c r="C71" s="8"/>
      <c r="G71" s="55"/>
    </row>
    <row r="72" spans="3:7" x14ac:dyDescent="0.2">
      <c r="C72" s="8"/>
      <c r="G72" s="55"/>
    </row>
    <row r="73" spans="3:7" x14ac:dyDescent="0.2">
      <c r="C73" s="8"/>
      <c r="G73" s="55"/>
    </row>
    <row r="75" spans="3:7" x14ac:dyDescent="0.2">
      <c r="F75" s="55"/>
    </row>
  </sheetData>
  <hyperlinks>
    <hyperlink ref="A5" r:id="rId1" xr:uid="{00000000-0004-0000-0400-000000000000}"/>
  </hyperlinks>
  <pageMargins left="0.7" right="0.7" top="0.75" bottom="0.75" header="0.3" footer="0.3"/>
  <pageSetup paperSize="9" orientation="portrait"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7"/>
  <sheetViews>
    <sheetView showGridLines="0" zoomScaleNormal="100" workbookViewId="0"/>
  </sheetViews>
  <sheetFormatPr defaultColWidth="11.5546875" defaultRowHeight="15" x14ac:dyDescent="0.2"/>
  <cols>
    <col min="1" max="1" width="50.6640625" customWidth="1"/>
    <col min="2" max="100" width="15.6640625" customWidth="1"/>
  </cols>
  <sheetData>
    <row r="1" spans="1:15" ht="20.25" x14ac:dyDescent="0.3">
      <c r="A1" s="4" t="s">
        <v>240</v>
      </c>
    </row>
    <row r="2" spans="1:15" x14ac:dyDescent="0.2">
      <c r="A2" t="s">
        <v>37</v>
      </c>
    </row>
    <row r="3" spans="1:15" x14ac:dyDescent="0.2">
      <c r="A3" t="s">
        <v>139</v>
      </c>
    </row>
    <row r="4" spans="1:15" x14ac:dyDescent="0.2">
      <c r="A4" s="7" t="str">
        <f>HYPERLINK("#Notes!A1", "Link to Notes table")</f>
        <v>Link to Notes table</v>
      </c>
    </row>
    <row r="5" spans="1:15" ht="15.75" thickBot="1" x14ac:dyDescent="0.25">
      <c r="A5" s="7" t="s">
        <v>140</v>
      </c>
    </row>
    <row r="6" spans="1:15" ht="48" thickBot="1" x14ac:dyDescent="0.3">
      <c r="A6" s="14" t="s">
        <v>241</v>
      </c>
      <c r="B6" s="15" t="s">
        <v>242</v>
      </c>
      <c r="C6" s="15" t="s">
        <v>243</v>
      </c>
      <c r="D6" s="15" t="s">
        <v>244</v>
      </c>
      <c r="E6" s="15" t="s">
        <v>245</v>
      </c>
      <c r="F6" s="15" t="s">
        <v>246</v>
      </c>
      <c r="G6" s="15" t="s">
        <v>247</v>
      </c>
      <c r="H6" s="15" t="s">
        <v>248</v>
      </c>
      <c r="I6" s="15" t="s">
        <v>249</v>
      </c>
      <c r="J6" s="15" t="s">
        <v>250</v>
      </c>
      <c r="K6" s="15" t="s">
        <v>251</v>
      </c>
      <c r="L6" s="17" t="s">
        <v>252</v>
      </c>
      <c r="M6" s="20" t="s">
        <v>253</v>
      </c>
      <c r="N6" s="20" t="s">
        <v>154</v>
      </c>
      <c r="O6" s="31" t="s">
        <v>155</v>
      </c>
    </row>
    <row r="7" spans="1:15" ht="24.95" customHeight="1" x14ac:dyDescent="0.2">
      <c r="A7" s="67" t="s">
        <v>254</v>
      </c>
      <c r="B7" s="9">
        <v>59066</v>
      </c>
      <c r="C7" s="9">
        <v>58284</v>
      </c>
      <c r="D7" s="9">
        <v>53863</v>
      </c>
      <c r="E7" s="9">
        <v>54553</v>
      </c>
      <c r="F7" s="9">
        <v>54521</v>
      </c>
      <c r="G7" s="9">
        <v>56971</v>
      </c>
      <c r="H7" s="9">
        <v>61587</v>
      </c>
      <c r="I7" s="9">
        <v>62693</v>
      </c>
      <c r="J7" s="9">
        <v>61429</v>
      </c>
      <c r="K7" s="9">
        <v>63278</v>
      </c>
      <c r="L7" s="18">
        <v>63039</v>
      </c>
      <c r="M7" s="21">
        <v>61192</v>
      </c>
      <c r="N7" s="23">
        <v>3</v>
      </c>
      <c r="O7" s="32">
        <v>-0.4</v>
      </c>
    </row>
    <row r="8" spans="1:15" ht="24.95" customHeight="1" x14ac:dyDescent="0.2">
      <c r="A8" s="67" t="s">
        <v>255</v>
      </c>
      <c r="B8" s="9">
        <v>175194</v>
      </c>
      <c r="C8" s="9">
        <v>174442</v>
      </c>
      <c r="D8" s="9">
        <v>174731</v>
      </c>
      <c r="E8" s="9">
        <v>175817</v>
      </c>
      <c r="F8" s="9">
        <v>173032</v>
      </c>
      <c r="G8" s="9">
        <v>174163</v>
      </c>
      <c r="H8" s="9">
        <v>175304</v>
      </c>
      <c r="I8" s="9">
        <v>175575</v>
      </c>
      <c r="J8" s="9">
        <v>179561</v>
      </c>
      <c r="K8" s="9">
        <v>182197</v>
      </c>
      <c r="L8" s="18">
        <v>182317</v>
      </c>
      <c r="M8" s="21">
        <v>177360</v>
      </c>
      <c r="N8" s="23">
        <v>2.8</v>
      </c>
      <c r="O8" s="32">
        <v>0.1</v>
      </c>
    </row>
    <row r="9" spans="1:15" ht="24.95" customHeight="1" x14ac:dyDescent="0.2">
      <c r="A9" s="67" t="s">
        <v>256</v>
      </c>
      <c r="B9" s="9">
        <v>42161</v>
      </c>
      <c r="C9" s="9">
        <v>42014</v>
      </c>
      <c r="D9" s="9">
        <v>39484</v>
      </c>
      <c r="E9" s="9">
        <v>34672</v>
      </c>
      <c r="F9" s="9">
        <v>31039</v>
      </c>
      <c r="G9" s="9">
        <v>27860</v>
      </c>
      <c r="H9" s="9">
        <v>25671</v>
      </c>
      <c r="I9" s="9">
        <v>25825</v>
      </c>
      <c r="J9" s="9">
        <v>25156</v>
      </c>
      <c r="K9" s="9">
        <v>23473</v>
      </c>
      <c r="L9" s="18">
        <v>23185</v>
      </c>
      <c r="M9" s="21">
        <v>25597</v>
      </c>
      <c r="N9" s="23">
        <v>-9.4</v>
      </c>
      <c r="O9" s="32">
        <v>-1.2</v>
      </c>
    </row>
    <row r="10" spans="1:15" ht="24.95" customHeight="1" x14ac:dyDescent="0.25">
      <c r="A10" s="12" t="s">
        <v>257</v>
      </c>
      <c r="B10" s="10">
        <v>276421</v>
      </c>
      <c r="C10" s="10">
        <v>274740</v>
      </c>
      <c r="D10" s="10">
        <v>268078</v>
      </c>
      <c r="E10" s="10">
        <v>265042</v>
      </c>
      <c r="F10" s="10">
        <v>258592</v>
      </c>
      <c r="G10" s="10">
        <v>258994</v>
      </c>
      <c r="H10" s="10">
        <v>262562</v>
      </c>
      <c r="I10" s="10">
        <v>264093</v>
      </c>
      <c r="J10" s="10">
        <v>266146</v>
      </c>
      <c r="K10" s="10">
        <v>268948</v>
      </c>
      <c r="L10" s="19">
        <v>268541</v>
      </c>
      <c r="M10" s="22">
        <v>264149</v>
      </c>
      <c r="N10" s="24">
        <v>1.7</v>
      </c>
      <c r="O10" s="33">
        <v>-0.2</v>
      </c>
    </row>
    <row r="11" spans="1:15" ht="24.95" customHeight="1" x14ac:dyDescent="0.2">
      <c r="A11" s="67" t="s">
        <v>258</v>
      </c>
      <c r="B11" s="9">
        <v>193436</v>
      </c>
      <c r="C11" s="9">
        <v>193031</v>
      </c>
      <c r="D11" s="9">
        <v>196104</v>
      </c>
      <c r="E11" s="9">
        <v>192661</v>
      </c>
      <c r="F11" s="9">
        <v>191490</v>
      </c>
      <c r="G11" s="9">
        <v>195822</v>
      </c>
      <c r="H11" s="9">
        <v>190996</v>
      </c>
      <c r="I11" s="9">
        <v>192278</v>
      </c>
      <c r="J11" s="9">
        <v>194042</v>
      </c>
      <c r="K11" s="9">
        <v>189687</v>
      </c>
      <c r="L11" s="18">
        <v>193831</v>
      </c>
      <c r="M11" s="21">
        <v>192565</v>
      </c>
      <c r="N11" s="23">
        <v>0.7</v>
      </c>
      <c r="O11" s="32">
        <v>2.2000000000000002</v>
      </c>
    </row>
    <row r="12" spans="1:15" ht="24.95" customHeight="1" x14ac:dyDescent="0.2">
      <c r="A12" s="67" t="s">
        <v>259</v>
      </c>
      <c r="B12" s="9">
        <v>436640</v>
      </c>
      <c r="C12" s="9">
        <v>432812</v>
      </c>
      <c r="D12" s="9">
        <v>424250</v>
      </c>
      <c r="E12" s="9">
        <v>417383</v>
      </c>
      <c r="F12" s="9">
        <v>413935</v>
      </c>
      <c r="G12" s="9">
        <v>413444</v>
      </c>
      <c r="H12" s="9">
        <v>409213</v>
      </c>
      <c r="I12" s="9">
        <v>394698</v>
      </c>
      <c r="J12" s="9">
        <v>382558</v>
      </c>
      <c r="K12" s="9">
        <v>372950</v>
      </c>
      <c r="L12" s="18">
        <v>373458</v>
      </c>
      <c r="M12" s="21">
        <v>394573</v>
      </c>
      <c r="N12" s="23">
        <v>-5.4</v>
      </c>
      <c r="O12" s="32">
        <v>0.1</v>
      </c>
    </row>
    <row r="13" spans="1:15" ht="24.95" customHeight="1" x14ac:dyDescent="0.2">
      <c r="A13" s="67" t="s">
        <v>260</v>
      </c>
      <c r="B13" s="9">
        <v>80961</v>
      </c>
      <c r="C13" s="9">
        <v>78501</v>
      </c>
      <c r="D13" s="9">
        <v>79123</v>
      </c>
      <c r="E13" s="9">
        <v>79554</v>
      </c>
      <c r="F13" s="9">
        <v>74958</v>
      </c>
      <c r="G13" s="9">
        <v>74084</v>
      </c>
      <c r="H13" s="9">
        <v>72350</v>
      </c>
      <c r="I13" s="9">
        <v>68527</v>
      </c>
      <c r="J13" s="9">
        <v>71418</v>
      </c>
      <c r="K13" s="9">
        <v>69875</v>
      </c>
      <c r="L13" s="18">
        <v>71180</v>
      </c>
      <c r="M13" s="21">
        <v>71251</v>
      </c>
      <c r="N13" s="23">
        <v>-0.1</v>
      </c>
      <c r="O13" s="32">
        <v>1.9</v>
      </c>
    </row>
    <row r="14" spans="1:15" ht="24.95" customHeight="1" x14ac:dyDescent="0.25">
      <c r="A14" s="12" t="s">
        <v>261</v>
      </c>
      <c r="B14" s="10">
        <v>711037</v>
      </c>
      <c r="C14" s="10">
        <v>704344</v>
      </c>
      <c r="D14" s="10">
        <v>699477</v>
      </c>
      <c r="E14" s="10">
        <v>689598</v>
      </c>
      <c r="F14" s="10">
        <v>680383</v>
      </c>
      <c r="G14" s="10">
        <v>683350</v>
      </c>
      <c r="H14" s="10">
        <v>672559</v>
      </c>
      <c r="I14" s="10">
        <v>655503</v>
      </c>
      <c r="J14" s="10">
        <v>648018</v>
      </c>
      <c r="K14" s="10">
        <v>632512</v>
      </c>
      <c r="L14" s="19">
        <v>638469</v>
      </c>
      <c r="M14" s="22">
        <v>658388</v>
      </c>
      <c r="N14" s="24">
        <v>-3</v>
      </c>
      <c r="O14" s="33">
        <v>0.9</v>
      </c>
    </row>
    <row r="15" spans="1:15" ht="24.95" customHeight="1" x14ac:dyDescent="0.2">
      <c r="A15" s="67" t="s">
        <v>262</v>
      </c>
      <c r="B15" s="9">
        <v>203292</v>
      </c>
      <c r="C15" s="9">
        <v>198856</v>
      </c>
      <c r="D15" s="9">
        <v>197610</v>
      </c>
      <c r="E15" s="9">
        <v>190446</v>
      </c>
      <c r="F15" s="9">
        <v>187613</v>
      </c>
      <c r="G15" s="9">
        <v>190907</v>
      </c>
      <c r="H15" s="9">
        <v>185177</v>
      </c>
      <c r="I15" s="9">
        <v>186689</v>
      </c>
      <c r="J15" s="9">
        <v>187904</v>
      </c>
      <c r="K15" s="9">
        <v>182377</v>
      </c>
      <c r="L15" s="18">
        <v>186774</v>
      </c>
      <c r="M15" s="21">
        <v>186611</v>
      </c>
      <c r="N15" s="23">
        <v>0.1</v>
      </c>
      <c r="O15" s="32">
        <v>2.4</v>
      </c>
    </row>
    <row r="16" spans="1:15" ht="24.95" customHeight="1" x14ac:dyDescent="0.2">
      <c r="A16" s="67" t="s">
        <v>263</v>
      </c>
      <c r="B16" s="9">
        <v>69014</v>
      </c>
      <c r="C16" s="9">
        <v>64888</v>
      </c>
      <c r="D16" s="9">
        <v>64163</v>
      </c>
      <c r="E16" s="9">
        <v>62960</v>
      </c>
      <c r="F16" s="9">
        <v>57830</v>
      </c>
      <c r="G16" s="9">
        <v>53279</v>
      </c>
      <c r="H16" s="9">
        <v>51651</v>
      </c>
      <c r="I16" s="9">
        <v>52516</v>
      </c>
      <c r="J16" s="9">
        <v>55562</v>
      </c>
      <c r="K16" s="9">
        <v>53729</v>
      </c>
      <c r="L16" s="18">
        <v>53834</v>
      </c>
      <c r="M16" s="21">
        <v>53347</v>
      </c>
      <c r="N16" s="23">
        <v>0.9</v>
      </c>
      <c r="O16" s="32">
        <v>0.2</v>
      </c>
    </row>
    <row r="17" spans="1:15" ht="24.95" customHeight="1" x14ac:dyDescent="0.25">
      <c r="A17" s="12" t="s">
        <v>264</v>
      </c>
      <c r="B17" s="10">
        <v>272306</v>
      </c>
      <c r="C17" s="10">
        <v>263744</v>
      </c>
      <c r="D17" s="10">
        <v>261773</v>
      </c>
      <c r="E17" s="10">
        <v>253406</v>
      </c>
      <c r="F17" s="10">
        <v>245443</v>
      </c>
      <c r="G17" s="10">
        <v>244186</v>
      </c>
      <c r="H17" s="10">
        <v>236828</v>
      </c>
      <c r="I17" s="10">
        <v>239205</v>
      </c>
      <c r="J17" s="10">
        <v>243466</v>
      </c>
      <c r="K17" s="10">
        <v>236106</v>
      </c>
      <c r="L17" s="19">
        <v>240608</v>
      </c>
      <c r="M17" s="22">
        <v>239958</v>
      </c>
      <c r="N17" s="24">
        <v>0.3</v>
      </c>
      <c r="O17" s="33">
        <v>1.9</v>
      </c>
    </row>
    <row r="18" spans="1:15" ht="24.95" customHeight="1" x14ac:dyDescent="0.2">
      <c r="A18" s="67" t="s">
        <v>265</v>
      </c>
      <c r="B18" s="9">
        <v>59320</v>
      </c>
      <c r="C18" s="9">
        <v>55892</v>
      </c>
      <c r="D18" s="9">
        <v>56081</v>
      </c>
      <c r="E18" s="9">
        <v>55633</v>
      </c>
      <c r="F18" s="9">
        <v>57122</v>
      </c>
      <c r="G18" s="9">
        <v>62656</v>
      </c>
      <c r="H18" s="9">
        <v>64325</v>
      </c>
      <c r="I18" s="9">
        <v>62181</v>
      </c>
      <c r="J18" s="9">
        <v>65210</v>
      </c>
      <c r="K18" s="9">
        <v>65512</v>
      </c>
      <c r="L18" s="18">
        <v>64064</v>
      </c>
      <c r="M18" s="21">
        <v>63977</v>
      </c>
      <c r="N18" s="23">
        <v>0.1</v>
      </c>
      <c r="O18" s="32">
        <v>-2.2000000000000002</v>
      </c>
    </row>
    <row r="19" spans="1:15" ht="24.95" customHeight="1" x14ac:dyDescent="0.2">
      <c r="A19" s="67" t="s">
        <v>266</v>
      </c>
      <c r="B19" s="9">
        <v>222708</v>
      </c>
      <c r="C19" s="9">
        <v>224627</v>
      </c>
      <c r="D19" s="9">
        <v>219629</v>
      </c>
      <c r="E19" s="9">
        <v>218622</v>
      </c>
      <c r="F19" s="9">
        <v>222186</v>
      </c>
      <c r="G19" s="9">
        <v>222171</v>
      </c>
      <c r="H19" s="9">
        <v>223451</v>
      </c>
      <c r="I19" s="9">
        <v>221160</v>
      </c>
      <c r="J19" s="9">
        <v>214495</v>
      </c>
      <c r="K19" s="9">
        <v>216244</v>
      </c>
      <c r="L19" s="18">
        <v>216903</v>
      </c>
      <c r="M19" s="21">
        <v>219504</v>
      </c>
      <c r="N19" s="23">
        <v>-1.2</v>
      </c>
      <c r="O19" s="32">
        <v>0.3</v>
      </c>
    </row>
    <row r="20" spans="1:15" ht="24.95" customHeight="1" x14ac:dyDescent="0.2">
      <c r="A20" s="67" t="s">
        <v>267</v>
      </c>
      <c r="B20" s="9">
        <v>262437</v>
      </c>
      <c r="C20" s="9">
        <v>258356</v>
      </c>
      <c r="D20" s="9">
        <v>250280</v>
      </c>
      <c r="E20" s="9">
        <v>245426</v>
      </c>
      <c r="F20" s="9">
        <v>248534</v>
      </c>
      <c r="G20" s="9">
        <v>250020</v>
      </c>
      <c r="H20" s="9">
        <v>246070</v>
      </c>
      <c r="I20" s="9">
        <v>241787</v>
      </c>
      <c r="J20" s="9">
        <v>231019</v>
      </c>
      <c r="K20" s="9">
        <v>234491</v>
      </c>
      <c r="L20" s="18">
        <v>236506</v>
      </c>
      <c r="M20" s="21">
        <v>240677</v>
      </c>
      <c r="N20" s="23">
        <v>-1.7</v>
      </c>
      <c r="O20" s="32">
        <v>0.9</v>
      </c>
    </row>
    <row r="21" spans="1:15" ht="24.95" customHeight="1" x14ac:dyDescent="0.25">
      <c r="A21" s="12" t="s">
        <v>268</v>
      </c>
      <c r="B21" s="10">
        <v>544465</v>
      </c>
      <c r="C21" s="10">
        <v>538875</v>
      </c>
      <c r="D21" s="10">
        <v>525990</v>
      </c>
      <c r="E21" s="10">
        <v>519681</v>
      </c>
      <c r="F21" s="10">
        <v>527842</v>
      </c>
      <c r="G21" s="10">
        <v>534847</v>
      </c>
      <c r="H21" s="10">
        <v>533846</v>
      </c>
      <c r="I21" s="10">
        <v>525128</v>
      </c>
      <c r="J21" s="10">
        <v>510724</v>
      </c>
      <c r="K21" s="10">
        <v>516247</v>
      </c>
      <c r="L21" s="19">
        <v>517473</v>
      </c>
      <c r="M21" s="22">
        <v>524158</v>
      </c>
      <c r="N21" s="24">
        <v>-1.3</v>
      </c>
      <c r="O21" s="33">
        <v>0.2</v>
      </c>
    </row>
    <row r="22" spans="1:15" ht="24.95" customHeight="1" thickBot="1" x14ac:dyDescent="0.3">
      <c r="A22" s="30" t="s">
        <v>269</v>
      </c>
      <c r="B22" s="10">
        <v>1804229</v>
      </c>
      <c r="C22" s="10">
        <v>1781703</v>
      </c>
      <c r="D22" s="10">
        <v>1755318</v>
      </c>
      <c r="E22" s="10">
        <v>1727727</v>
      </c>
      <c r="F22" s="10">
        <v>1712260</v>
      </c>
      <c r="G22" s="10">
        <v>1721377</v>
      </c>
      <c r="H22" s="10">
        <v>1705795</v>
      </c>
      <c r="I22" s="10">
        <v>1683929</v>
      </c>
      <c r="J22" s="10">
        <v>1668354</v>
      </c>
      <c r="K22" s="10">
        <v>1653813</v>
      </c>
      <c r="L22" s="19">
        <v>1665091</v>
      </c>
      <c r="M22" s="22">
        <v>1686654</v>
      </c>
      <c r="N22" s="24">
        <v>-1.3</v>
      </c>
      <c r="O22" s="33">
        <v>0.7</v>
      </c>
    </row>
    <row r="24" spans="1:15" x14ac:dyDescent="0.2">
      <c r="L24" s="54"/>
    </row>
    <row r="25" spans="1:15" x14ac:dyDescent="0.2">
      <c r="K25" s="57"/>
      <c r="L25" s="54"/>
      <c r="M25" s="58"/>
    </row>
    <row r="26" spans="1:15" x14ac:dyDescent="0.2">
      <c r="L26" s="55"/>
    </row>
    <row r="27" spans="1:15" x14ac:dyDescent="0.2">
      <c r="L27" s="56"/>
    </row>
    <row r="28" spans="1:15" x14ac:dyDescent="0.2">
      <c r="L28" s="59"/>
    </row>
    <row r="29" spans="1:15" x14ac:dyDescent="0.2">
      <c r="L29" s="59"/>
    </row>
    <row r="30" spans="1:15" x14ac:dyDescent="0.2">
      <c r="L30" s="59"/>
    </row>
    <row r="31" spans="1:15" x14ac:dyDescent="0.2">
      <c r="L31" s="59"/>
    </row>
    <row r="32" spans="1:15" x14ac:dyDescent="0.2">
      <c r="L32" s="59"/>
    </row>
    <row r="33" spans="12:12" x14ac:dyDescent="0.2">
      <c r="L33" s="59"/>
    </row>
    <row r="34" spans="12:12" x14ac:dyDescent="0.2">
      <c r="L34" s="59"/>
    </row>
    <row r="35" spans="12:12" x14ac:dyDescent="0.2">
      <c r="L35" s="59"/>
    </row>
    <row r="36" spans="12:12" x14ac:dyDescent="0.2">
      <c r="L36" s="59"/>
    </row>
    <row r="37" spans="12:12" x14ac:dyDescent="0.2">
      <c r="L37" s="59"/>
    </row>
    <row r="38" spans="12:12" x14ac:dyDescent="0.2">
      <c r="L38" s="59"/>
    </row>
    <row r="39" spans="12:12" x14ac:dyDescent="0.2">
      <c r="L39" s="59"/>
    </row>
    <row r="40" spans="12:12" x14ac:dyDescent="0.2">
      <c r="L40" s="59"/>
    </row>
    <row r="41" spans="12:12" x14ac:dyDescent="0.2">
      <c r="L41" s="59"/>
    </row>
    <row r="42" spans="12:12" x14ac:dyDescent="0.2">
      <c r="L42" s="59"/>
    </row>
    <row r="43" spans="12:12" x14ac:dyDescent="0.2">
      <c r="L43" s="59"/>
    </row>
    <row r="44" spans="12:12" x14ac:dyDescent="0.2">
      <c r="L44" s="59"/>
    </row>
    <row r="45" spans="12:12" x14ac:dyDescent="0.2">
      <c r="L45" s="59"/>
    </row>
    <row r="46" spans="12:12" x14ac:dyDescent="0.2">
      <c r="L46" s="59"/>
    </row>
    <row r="47" spans="12:12" x14ac:dyDescent="0.2">
      <c r="L47" s="59"/>
    </row>
    <row r="48" spans="12:12" x14ac:dyDescent="0.2">
      <c r="L48" s="59"/>
    </row>
    <row r="49" spans="12:12" x14ac:dyDescent="0.2">
      <c r="L49" s="59"/>
    </row>
    <row r="50" spans="12:12" x14ac:dyDescent="0.2">
      <c r="L50" s="59"/>
    </row>
    <row r="51" spans="12:12" x14ac:dyDescent="0.2">
      <c r="L51" s="59"/>
    </row>
    <row r="52" spans="12:12" x14ac:dyDescent="0.2">
      <c r="L52" s="59"/>
    </row>
    <row r="53" spans="12:12" x14ac:dyDescent="0.2">
      <c r="L53" s="59"/>
    </row>
    <row r="54" spans="12:12" x14ac:dyDescent="0.2">
      <c r="L54" s="59"/>
    </row>
    <row r="55" spans="12:12" x14ac:dyDescent="0.2">
      <c r="L55" s="59"/>
    </row>
    <row r="56" spans="12:12" x14ac:dyDescent="0.2">
      <c r="L56" s="59"/>
    </row>
    <row r="57" spans="12:12" x14ac:dyDescent="0.2">
      <c r="L57" s="59"/>
    </row>
    <row r="58" spans="12:12" x14ac:dyDescent="0.2">
      <c r="L58" s="59"/>
    </row>
    <row r="59" spans="12:12" x14ac:dyDescent="0.2">
      <c r="L59" s="59"/>
    </row>
    <row r="60" spans="12:12" x14ac:dyDescent="0.2">
      <c r="L60" s="59"/>
    </row>
    <row r="61" spans="12:12" x14ac:dyDescent="0.2">
      <c r="L61" s="59"/>
    </row>
    <row r="62" spans="12:12" x14ac:dyDescent="0.2">
      <c r="L62" s="59"/>
    </row>
    <row r="63" spans="12:12" x14ac:dyDescent="0.2">
      <c r="L63" s="59"/>
    </row>
    <row r="64" spans="12:12" x14ac:dyDescent="0.2">
      <c r="L64" s="59"/>
    </row>
    <row r="65" spans="12:12" x14ac:dyDescent="0.2">
      <c r="L65" s="59"/>
    </row>
    <row r="66" spans="12:12" x14ac:dyDescent="0.2">
      <c r="L66" s="59"/>
    </row>
    <row r="67" spans="12:12" x14ac:dyDescent="0.2">
      <c r="L67" s="59"/>
    </row>
    <row r="68" spans="12:12" x14ac:dyDescent="0.2">
      <c r="L68" s="59"/>
    </row>
    <row r="69" spans="12:12" x14ac:dyDescent="0.2">
      <c r="L69" s="59"/>
    </row>
    <row r="70" spans="12:12" x14ac:dyDescent="0.2">
      <c r="L70" s="59"/>
    </row>
    <row r="71" spans="12:12" x14ac:dyDescent="0.2">
      <c r="L71" s="59"/>
    </row>
    <row r="72" spans="12:12" x14ac:dyDescent="0.2">
      <c r="L72" s="59"/>
    </row>
    <row r="73" spans="12:12" x14ac:dyDescent="0.2">
      <c r="L73" s="59"/>
    </row>
    <row r="74" spans="12:12" x14ac:dyDescent="0.2">
      <c r="L74" s="59"/>
    </row>
    <row r="75" spans="12:12" x14ac:dyDescent="0.2">
      <c r="L75" s="59"/>
    </row>
    <row r="76" spans="12:12" x14ac:dyDescent="0.2">
      <c r="L76" s="59"/>
    </row>
    <row r="77" spans="12:12" x14ac:dyDescent="0.2">
      <c r="L77" s="59"/>
    </row>
    <row r="78" spans="12:12" x14ac:dyDescent="0.2">
      <c r="L78" s="59"/>
    </row>
    <row r="79" spans="12:12" x14ac:dyDescent="0.2">
      <c r="L79" s="59"/>
    </row>
    <row r="80" spans="12:12" x14ac:dyDescent="0.2">
      <c r="L80" s="59"/>
    </row>
    <row r="81" spans="12:12" x14ac:dyDescent="0.2">
      <c r="L81" s="59"/>
    </row>
    <row r="82" spans="12:12" x14ac:dyDescent="0.2">
      <c r="L82" s="59"/>
    </row>
    <row r="83" spans="12:12" x14ac:dyDescent="0.2">
      <c r="L83" s="59"/>
    </row>
    <row r="84" spans="12:12" x14ac:dyDescent="0.2">
      <c r="L84" s="59"/>
    </row>
    <row r="85" spans="12:12" x14ac:dyDescent="0.2">
      <c r="L85" s="59"/>
    </row>
    <row r="86" spans="12:12" x14ac:dyDescent="0.2">
      <c r="L86" s="59"/>
    </row>
    <row r="87" spans="12:12" x14ac:dyDescent="0.2">
      <c r="L87" s="59"/>
    </row>
    <row r="88" spans="12:12" x14ac:dyDescent="0.2">
      <c r="L88" s="59"/>
    </row>
    <row r="89" spans="12:12" x14ac:dyDescent="0.2">
      <c r="L89" s="59"/>
    </row>
    <row r="90" spans="12:12" x14ac:dyDescent="0.2">
      <c r="L90" s="59"/>
    </row>
    <row r="91" spans="12:12" x14ac:dyDescent="0.2">
      <c r="L91" s="59"/>
    </row>
    <row r="92" spans="12:12" x14ac:dyDescent="0.2">
      <c r="L92" s="59"/>
    </row>
    <row r="93" spans="12:12" x14ac:dyDescent="0.2">
      <c r="L93" s="59"/>
    </row>
    <row r="94" spans="12:12" x14ac:dyDescent="0.2">
      <c r="L94" s="59"/>
    </row>
    <row r="95" spans="12:12" x14ac:dyDescent="0.2">
      <c r="L95" s="57"/>
    </row>
    <row r="96" spans="12:12" x14ac:dyDescent="0.2">
      <c r="L96" s="57"/>
    </row>
    <row r="97" spans="12:12" x14ac:dyDescent="0.2">
      <c r="L97" s="57"/>
    </row>
  </sheetData>
  <hyperlinks>
    <hyperlink ref="A5" r:id="rId1" xr:uid="{00000000-0004-0000-0500-000000000000}"/>
  </hyperlinks>
  <pageMargins left="0.7" right="0.7" top="0.75" bottom="0.75" header="0.3" footer="0.3"/>
  <pageSetup paperSize="9" orientation="portrait" horizontalDpi="300" verticalDpi="30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
  <sheetViews>
    <sheetView showGridLines="0" zoomScaleNormal="100" workbookViewId="0"/>
  </sheetViews>
  <sheetFormatPr defaultColWidth="11.5546875" defaultRowHeight="15" x14ac:dyDescent="0.2"/>
  <cols>
    <col min="1" max="1" width="50.6640625" customWidth="1"/>
    <col min="2" max="100" width="15.6640625" customWidth="1"/>
  </cols>
  <sheetData>
    <row r="1" spans="1:15" ht="20.25" x14ac:dyDescent="0.3">
      <c r="A1" s="4" t="s">
        <v>270</v>
      </c>
    </row>
    <row r="2" spans="1:15" x14ac:dyDescent="0.2">
      <c r="A2" t="s">
        <v>37</v>
      </c>
    </row>
    <row r="3" spans="1:15" x14ac:dyDescent="0.2">
      <c r="A3" t="s">
        <v>139</v>
      </c>
    </row>
    <row r="4" spans="1:15" x14ac:dyDescent="0.2">
      <c r="A4" s="46" t="str">
        <f>HYPERLINK("#Notes!A1", "Link to Notes table")</f>
        <v>Link to Notes table</v>
      </c>
    </row>
    <row r="5" spans="1:15" ht="15.75" thickBot="1" x14ac:dyDescent="0.25">
      <c r="A5" s="7" t="s">
        <v>140</v>
      </c>
    </row>
    <row r="6" spans="1:15" ht="48" thickBot="1" x14ac:dyDescent="0.3">
      <c r="A6" s="14" t="s">
        <v>271</v>
      </c>
      <c r="B6" s="15" t="s">
        <v>242</v>
      </c>
      <c r="C6" s="15" t="s">
        <v>243</v>
      </c>
      <c r="D6" s="15" t="s">
        <v>244</v>
      </c>
      <c r="E6" s="15" t="s">
        <v>245</v>
      </c>
      <c r="F6" s="15" t="s">
        <v>246</v>
      </c>
      <c r="G6" s="15" t="s">
        <v>247</v>
      </c>
      <c r="H6" s="15" t="s">
        <v>248</v>
      </c>
      <c r="I6" s="15" t="s">
        <v>249</v>
      </c>
      <c r="J6" s="15" t="s">
        <v>250</v>
      </c>
      <c r="K6" s="15" t="s">
        <v>251</v>
      </c>
      <c r="L6" s="17" t="s">
        <v>252</v>
      </c>
      <c r="M6" s="20" t="s">
        <v>253</v>
      </c>
      <c r="N6" s="20" t="s">
        <v>154</v>
      </c>
      <c r="O6" s="31" t="s">
        <v>155</v>
      </c>
    </row>
    <row r="7" spans="1:15" ht="24.95" customHeight="1" x14ac:dyDescent="0.2">
      <c r="A7" s="67" t="s">
        <v>272</v>
      </c>
      <c r="B7" s="9">
        <v>2618341</v>
      </c>
      <c r="C7" s="9">
        <v>2660856</v>
      </c>
      <c r="D7" s="9">
        <v>2552118</v>
      </c>
      <c r="E7" s="9">
        <v>2568018</v>
      </c>
      <c r="F7" s="9">
        <v>2537933</v>
      </c>
      <c r="G7" s="9">
        <v>2565429</v>
      </c>
      <c r="H7" s="9">
        <v>2552054</v>
      </c>
      <c r="I7" s="9">
        <v>2509773</v>
      </c>
      <c r="J7" s="9">
        <v>2451744</v>
      </c>
      <c r="K7" s="9">
        <v>2469738</v>
      </c>
      <c r="L7" s="18">
        <v>2477462</v>
      </c>
      <c r="M7" s="21">
        <v>2509748</v>
      </c>
      <c r="N7" s="23">
        <v>-1.3</v>
      </c>
      <c r="O7" s="32">
        <v>0.3</v>
      </c>
    </row>
    <row r="8" spans="1:15" ht="24.95" customHeight="1" x14ac:dyDescent="0.2">
      <c r="A8" s="67" t="s">
        <v>273</v>
      </c>
      <c r="B8" s="9">
        <v>89507</v>
      </c>
      <c r="C8" s="9">
        <v>90857</v>
      </c>
      <c r="D8" s="9">
        <v>89906</v>
      </c>
      <c r="E8" s="9">
        <v>92798</v>
      </c>
      <c r="F8" s="9">
        <v>90742</v>
      </c>
      <c r="G8" s="9">
        <v>90569</v>
      </c>
      <c r="H8" s="9">
        <v>90223</v>
      </c>
      <c r="I8" s="9">
        <v>88923</v>
      </c>
      <c r="J8" s="9">
        <v>90268</v>
      </c>
      <c r="K8" s="9">
        <v>87888</v>
      </c>
      <c r="L8" s="18">
        <v>88465</v>
      </c>
      <c r="M8" s="21">
        <v>89574</v>
      </c>
      <c r="N8" s="23">
        <v>-1.2</v>
      </c>
      <c r="O8" s="32">
        <v>0.7</v>
      </c>
    </row>
    <row r="9" spans="1:15" ht="24.95" customHeight="1" x14ac:dyDescent="0.2">
      <c r="A9" s="67" t="s">
        <v>274</v>
      </c>
      <c r="B9" s="9">
        <v>698335</v>
      </c>
      <c r="C9" s="9">
        <v>671012</v>
      </c>
      <c r="D9" s="9">
        <v>631743</v>
      </c>
      <c r="E9" s="9">
        <v>588744</v>
      </c>
      <c r="F9" s="9">
        <v>608872</v>
      </c>
      <c r="G9" s="9">
        <v>590943</v>
      </c>
      <c r="H9" s="9">
        <v>587627</v>
      </c>
      <c r="I9" s="9">
        <v>576743</v>
      </c>
      <c r="J9" s="9">
        <v>543713</v>
      </c>
      <c r="K9" s="9">
        <v>561083</v>
      </c>
      <c r="L9" s="18">
        <v>562636</v>
      </c>
      <c r="M9" s="21">
        <v>572022</v>
      </c>
      <c r="N9" s="23">
        <v>-1.6</v>
      </c>
      <c r="O9" s="32">
        <v>0.3</v>
      </c>
    </row>
    <row r="10" spans="1:15" ht="24.95" customHeight="1" x14ac:dyDescent="0.2">
      <c r="A10" s="67" t="s">
        <v>275</v>
      </c>
      <c r="B10" s="9">
        <v>99869</v>
      </c>
      <c r="C10" s="9">
        <v>148345</v>
      </c>
      <c r="D10" s="9">
        <v>174100</v>
      </c>
      <c r="E10" s="9">
        <v>164695</v>
      </c>
      <c r="F10" s="9">
        <v>167720</v>
      </c>
      <c r="G10" s="9">
        <v>233491</v>
      </c>
      <c r="H10" s="9">
        <v>231884</v>
      </c>
      <c r="I10" s="9">
        <v>235346</v>
      </c>
      <c r="J10" s="9">
        <v>233725</v>
      </c>
      <c r="K10" s="9">
        <v>239762</v>
      </c>
      <c r="L10" s="18">
        <v>246895</v>
      </c>
      <c r="M10" s="21">
        <v>234842</v>
      </c>
      <c r="N10" s="23">
        <v>5.0999999999999996</v>
      </c>
      <c r="O10" s="32">
        <v>3</v>
      </c>
    </row>
    <row r="11" spans="1:15" ht="24.95" customHeight="1" x14ac:dyDescent="0.25">
      <c r="A11" s="12" t="s">
        <v>276</v>
      </c>
      <c r="B11" s="10">
        <v>798204</v>
      </c>
      <c r="C11" s="10">
        <v>819357</v>
      </c>
      <c r="D11" s="10">
        <v>805843</v>
      </c>
      <c r="E11" s="10">
        <v>753439</v>
      </c>
      <c r="F11" s="10">
        <v>776592</v>
      </c>
      <c r="G11" s="10">
        <v>824434</v>
      </c>
      <c r="H11" s="10">
        <v>819511</v>
      </c>
      <c r="I11" s="10">
        <v>812089</v>
      </c>
      <c r="J11" s="10">
        <v>777438</v>
      </c>
      <c r="K11" s="10">
        <v>800845</v>
      </c>
      <c r="L11" s="19">
        <v>809531</v>
      </c>
      <c r="M11" s="22">
        <v>806863</v>
      </c>
      <c r="N11" s="24">
        <v>0.3</v>
      </c>
      <c r="O11" s="33">
        <v>1.1000000000000001</v>
      </c>
    </row>
    <row r="12" spans="1:15" ht="24.95" customHeight="1" x14ac:dyDescent="0.2">
      <c r="A12" s="11" t="s">
        <v>277</v>
      </c>
      <c r="B12" s="9">
        <v>3320064</v>
      </c>
      <c r="C12" s="9">
        <v>3413947</v>
      </c>
      <c r="D12" s="9">
        <v>3138532</v>
      </c>
      <c r="E12" s="9">
        <v>3254845</v>
      </c>
      <c r="F12" s="9">
        <v>3315549</v>
      </c>
      <c r="G12" s="9">
        <v>3351273</v>
      </c>
      <c r="H12" s="9">
        <v>3337337</v>
      </c>
      <c r="I12" s="9">
        <v>3199876</v>
      </c>
      <c r="J12" s="9">
        <v>3148206</v>
      </c>
      <c r="K12" s="9">
        <v>3180659</v>
      </c>
      <c r="L12" s="18">
        <v>3129169</v>
      </c>
      <c r="M12" s="21">
        <v>3243470</v>
      </c>
      <c r="N12" s="23">
        <v>-3.5</v>
      </c>
      <c r="O12" s="32">
        <v>-1.6</v>
      </c>
    </row>
    <row r="13" spans="1:15" ht="24.95" customHeight="1" thickBot="1" x14ac:dyDescent="0.3">
      <c r="A13" s="30" t="s">
        <v>278</v>
      </c>
      <c r="B13" s="10">
        <v>6826116</v>
      </c>
      <c r="C13" s="10">
        <v>6985017</v>
      </c>
      <c r="D13" s="10">
        <v>6586399</v>
      </c>
      <c r="E13" s="10">
        <v>6669100</v>
      </c>
      <c r="F13" s="10">
        <v>6720816</v>
      </c>
      <c r="G13" s="10">
        <v>6831705</v>
      </c>
      <c r="H13" s="10">
        <v>6799125</v>
      </c>
      <c r="I13" s="10">
        <v>6610661</v>
      </c>
      <c r="J13" s="10">
        <v>6467656</v>
      </c>
      <c r="K13" s="10">
        <v>6539130</v>
      </c>
      <c r="L13" s="19">
        <v>6504627</v>
      </c>
      <c r="M13" s="22">
        <v>6649655</v>
      </c>
      <c r="N13" s="24">
        <v>-2.2000000000000002</v>
      </c>
      <c r="O13" s="33">
        <v>-0.5</v>
      </c>
    </row>
  </sheetData>
  <hyperlinks>
    <hyperlink ref="A5" r:id="rId1" xr:uid="{00000000-0004-0000-0600-000000000000}"/>
  </hyperlinks>
  <pageMargins left="0.7" right="0.7" top="0.75" bottom="0.75" header="0.3" footer="0.3"/>
  <pageSetup paperSize="9" orientation="portrait" horizontalDpi="300" verticalDpi="30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showGridLines="0" zoomScaleNormal="100" workbookViewId="0"/>
  </sheetViews>
  <sheetFormatPr defaultColWidth="11.5546875" defaultRowHeight="15" x14ac:dyDescent="0.2"/>
  <cols>
    <col min="1" max="1" width="50.6640625" customWidth="1"/>
    <col min="2" max="15" width="15.6640625" customWidth="1"/>
    <col min="16" max="16" width="50.5546875" style="73" customWidth="1"/>
    <col min="17" max="100" width="15.6640625" customWidth="1"/>
  </cols>
  <sheetData>
    <row r="1" spans="1:16" ht="20.25" x14ac:dyDescent="0.3">
      <c r="A1" s="4" t="s">
        <v>279</v>
      </c>
    </row>
    <row r="2" spans="1:16" x14ac:dyDescent="0.2">
      <c r="A2" t="s">
        <v>37</v>
      </c>
    </row>
    <row r="3" spans="1:16" x14ac:dyDescent="0.2">
      <c r="A3" t="s">
        <v>139</v>
      </c>
    </row>
    <row r="4" spans="1:16" x14ac:dyDescent="0.2">
      <c r="A4" s="7" t="str">
        <f>HYPERLINK("#Notes!A1", "Link to Notes table")</f>
        <v>Link to Notes table</v>
      </c>
    </row>
    <row r="5" spans="1:16" ht="15.75" thickBot="1" x14ac:dyDescent="0.25">
      <c r="A5" s="7" t="s">
        <v>140</v>
      </c>
    </row>
    <row r="6" spans="1:16" ht="48" thickBot="1" x14ac:dyDescent="0.3">
      <c r="A6" s="14" t="s">
        <v>280</v>
      </c>
      <c r="B6" s="15" t="s">
        <v>242</v>
      </c>
      <c r="C6" s="15" t="s">
        <v>243</v>
      </c>
      <c r="D6" s="15" t="s">
        <v>244</v>
      </c>
      <c r="E6" s="15" t="s">
        <v>245</v>
      </c>
      <c r="F6" s="15" t="s">
        <v>246</v>
      </c>
      <c r="G6" s="15" t="s">
        <v>247</v>
      </c>
      <c r="H6" s="15" t="s">
        <v>248</v>
      </c>
      <c r="I6" s="15" t="s">
        <v>249</v>
      </c>
      <c r="J6" s="15" t="s">
        <v>250</v>
      </c>
      <c r="K6" s="15" t="s">
        <v>251</v>
      </c>
      <c r="L6" s="17" t="s">
        <v>252</v>
      </c>
      <c r="M6" s="17" t="s">
        <v>253</v>
      </c>
      <c r="N6" s="17" t="s">
        <v>154</v>
      </c>
      <c r="O6" s="15" t="s">
        <v>155</v>
      </c>
      <c r="P6" s="74" t="s">
        <v>156</v>
      </c>
    </row>
    <row r="7" spans="1:16" ht="24.95" customHeight="1" x14ac:dyDescent="0.2">
      <c r="A7" s="67" t="s">
        <v>281</v>
      </c>
      <c r="B7" s="9">
        <v>21778</v>
      </c>
      <c r="C7" s="9">
        <v>22337</v>
      </c>
      <c r="D7" s="9">
        <v>21055</v>
      </c>
      <c r="E7" s="9">
        <v>24981</v>
      </c>
      <c r="F7" s="9">
        <v>24715</v>
      </c>
      <c r="G7" s="9">
        <v>22257</v>
      </c>
      <c r="H7" s="9">
        <v>22652</v>
      </c>
      <c r="I7" s="9">
        <v>21790</v>
      </c>
      <c r="J7" s="9">
        <v>20030</v>
      </c>
      <c r="K7" s="9">
        <v>17914</v>
      </c>
      <c r="L7" s="18">
        <v>16931</v>
      </c>
      <c r="M7" s="18">
        <v>20929</v>
      </c>
      <c r="N7" s="28">
        <v>-19.100000000000001</v>
      </c>
      <c r="O7" s="32">
        <v>-5.5</v>
      </c>
      <c r="P7" s="75" t="s">
        <v>2</v>
      </c>
    </row>
    <row r="8" spans="1:16" ht="24.95" customHeight="1" x14ac:dyDescent="0.2">
      <c r="A8" s="67" t="s">
        <v>282</v>
      </c>
      <c r="B8" s="9">
        <v>4432</v>
      </c>
      <c r="C8" s="9">
        <v>5098</v>
      </c>
      <c r="D8" s="9">
        <v>5106</v>
      </c>
      <c r="E8" s="9">
        <v>6298</v>
      </c>
      <c r="F8" s="9">
        <v>6580</v>
      </c>
      <c r="G8" s="9">
        <v>5833</v>
      </c>
      <c r="H8" s="9">
        <v>5934</v>
      </c>
      <c r="I8" s="9">
        <v>5268</v>
      </c>
      <c r="J8" s="9">
        <v>4747</v>
      </c>
      <c r="K8" s="9">
        <v>4297</v>
      </c>
      <c r="L8" s="18">
        <v>5624</v>
      </c>
      <c r="M8" s="18">
        <v>5216</v>
      </c>
      <c r="N8" s="28">
        <v>7.8</v>
      </c>
      <c r="O8" s="32">
        <v>30.9</v>
      </c>
      <c r="P8" s="75" t="s">
        <v>2</v>
      </c>
    </row>
    <row r="9" spans="1:16" ht="24.95" customHeight="1" x14ac:dyDescent="0.2">
      <c r="A9" s="67" t="s">
        <v>283</v>
      </c>
      <c r="B9" s="9">
        <v>4748</v>
      </c>
      <c r="C9" s="9">
        <v>4609</v>
      </c>
      <c r="D9" s="9">
        <v>4229</v>
      </c>
      <c r="E9" s="9">
        <v>4885</v>
      </c>
      <c r="F9" s="9">
        <v>4619</v>
      </c>
      <c r="G9" s="9">
        <v>4683</v>
      </c>
      <c r="H9" s="9">
        <v>4824</v>
      </c>
      <c r="I9" s="9">
        <v>4088</v>
      </c>
      <c r="J9" s="9">
        <v>3911</v>
      </c>
      <c r="K9" s="9">
        <v>3406</v>
      </c>
      <c r="L9" s="18">
        <v>3926</v>
      </c>
      <c r="M9" s="18">
        <v>4182</v>
      </c>
      <c r="N9" s="28">
        <v>-6.1</v>
      </c>
      <c r="O9" s="32">
        <v>15.3</v>
      </c>
      <c r="P9" s="75" t="s">
        <v>2</v>
      </c>
    </row>
    <row r="10" spans="1:16" ht="24.95" customHeight="1" x14ac:dyDescent="0.25">
      <c r="A10" s="12" t="s">
        <v>284</v>
      </c>
      <c r="B10" s="10">
        <v>30958</v>
      </c>
      <c r="C10" s="10">
        <v>32044</v>
      </c>
      <c r="D10" s="10">
        <v>30390</v>
      </c>
      <c r="E10" s="10">
        <v>36164</v>
      </c>
      <c r="F10" s="10">
        <v>35914</v>
      </c>
      <c r="G10" s="10">
        <v>32773</v>
      </c>
      <c r="H10" s="10">
        <v>33410</v>
      </c>
      <c r="I10" s="10">
        <v>31146</v>
      </c>
      <c r="J10" s="10">
        <v>28688</v>
      </c>
      <c r="K10" s="10">
        <v>25617</v>
      </c>
      <c r="L10" s="19">
        <v>26481</v>
      </c>
      <c r="M10" s="19">
        <v>30327</v>
      </c>
      <c r="N10" s="29">
        <v>-12.7</v>
      </c>
      <c r="O10" s="33">
        <v>3.4</v>
      </c>
      <c r="P10" s="76" t="s">
        <v>2</v>
      </c>
    </row>
    <row r="11" spans="1:16" ht="24.95" customHeight="1" x14ac:dyDescent="0.2">
      <c r="A11" s="67" t="s">
        <v>285</v>
      </c>
      <c r="B11" s="9">
        <v>708</v>
      </c>
      <c r="C11" s="9">
        <v>668</v>
      </c>
      <c r="D11" s="9">
        <v>805</v>
      </c>
      <c r="E11" s="9">
        <v>741</v>
      </c>
      <c r="F11" s="9">
        <v>726</v>
      </c>
      <c r="G11" s="9">
        <v>857</v>
      </c>
      <c r="H11" s="9">
        <v>872</v>
      </c>
      <c r="I11" s="9">
        <v>1010</v>
      </c>
      <c r="J11" s="9">
        <v>604</v>
      </c>
      <c r="K11" s="9">
        <v>595</v>
      </c>
      <c r="L11" s="18">
        <v>847</v>
      </c>
      <c r="M11" s="18">
        <v>788</v>
      </c>
      <c r="N11" s="28">
        <v>7.5</v>
      </c>
      <c r="O11" s="32">
        <v>42.4</v>
      </c>
      <c r="P11" s="75" t="s">
        <v>2</v>
      </c>
    </row>
    <row r="12" spans="1:16" ht="24.95" customHeight="1" x14ac:dyDescent="0.2">
      <c r="A12" s="67" t="s">
        <v>286</v>
      </c>
      <c r="B12" s="9">
        <v>4239</v>
      </c>
      <c r="C12" s="9">
        <v>3824</v>
      </c>
      <c r="D12" s="9">
        <v>5556</v>
      </c>
      <c r="E12" s="9">
        <v>4802</v>
      </c>
      <c r="F12" s="9">
        <v>4246</v>
      </c>
      <c r="G12" s="9">
        <v>5011</v>
      </c>
      <c r="H12" s="9">
        <v>5112</v>
      </c>
      <c r="I12" s="9">
        <v>8248</v>
      </c>
      <c r="J12" s="9">
        <v>6871</v>
      </c>
      <c r="K12" s="9">
        <v>3965</v>
      </c>
      <c r="L12" s="18">
        <v>4894</v>
      </c>
      <c r="M12" s="18">
        <v>5841</v>
      </c>
      <c r="N12" s="28">
        <v>-16.2</v>
      </c>
      <c r="O12" s="32">
        <v>23.4</v>
      </c>
      <c r="P12" s="75" t="s">
        <v>2</v>
      </c>
    </row>
    <row r="13" spans="1:16" ht="24.95" customHeight="1" x14ac:dyDescent="0.2">
      <c r="A13" s="11" t="s">
        <v>287</v>
      </c>
      <c r="B13" s="9">
        <v>763</v>
      </c>
      <c r="C13" s="9">
        <v>1390</v>
      </c>
      <c r="D13" s="9">
        <v>734</v>
      </c>
      <c r="E13" s="9">
        <v>784</v>
      </c>
      <c r="F13" s="9">
        <v>919</v>
      </c>
      <c r="G13" s="9">
        <v>827</v>
      </c>
      <c r="H13" s="9">
        <v>835</v>
      </c>
      <c r="I13" s="9">
        <v>785</v>
      </c>
      <c r="J13" s="9">
        <v>679</v>
      </c>
      <c r="K13" s="9">
        <v>627</v>
      </c>
      <c r="L13" s="18">
        <v>635</v>
      </c>
      <c r="M13" s="18">
        <v>751</v>
      </c>
      <c r="N13" s="28">
        <v>-15.4</v>
      </c>
      <c r="O13" s="32">
        <v>1.3</v>
      </c>
      <c r="P13" s="75" t="s">
        <v>2</v>
      </c>
    </row>
    <row r="14" spans="1:16" ht="24.95" customHeight="1" x14ac:dyDescent="0.25">
      <c r="A14" s="12" t="s">
        <v>288</v>
      </c>
      <c r="B14" s="10">
        <v>5710</v>
      </c>
      <c r="C14" s="10">
        <v>5882</v>
      </c>
      <c r="D14" s="10">
        <v>7095</v>
      </c>
      <c r="E14" s="10">
        <v>6327</v>
      </c>
      <c r="F14" s="10">
        <v>5891</v>
      </c>
      <c r="G14" s="10">
        <v>6695</v>
      </c>
      <c r="H14" s="10">
        <v>6819</v>
      </c>
      <c r="I14" s="10">
        <v>10043</v>
      </c>
      <c r="J14" s="10">
        <v>8154</v>
      </c>
      <c r="K14" s="10">
        <v>5187</v>
      </c>
      <c r="L14" s="19">
        <v>6376</v>
      </c>
      <c r="M14" s="19">
        <v>7380</v>
      </c>
      <c r="N14" s="29">
        <v>-13.6</v>
      </c>
      <c r="O14" s="33">
        <v>22.9</v>
      </c>
      <c r="P14" s="76" t="s">
        <v>2</v>
      </c>
    </row>
    <row r="15" spans="1:16" ht="24.95" customHeight="1" x14ac:dyDescent="0.2">
      <c r="A15" s="67" t="s">
        <v>289</v>
      </c>
      <c r="B15" s="9">
        <v>52516</v>
      </c>
      <c r="C15" s="9">
        <v>50577</v>
      </c>
      <c r="D15" s="9">
        <v>47163</v>
      </c>
      <c r="E15" s="9">
        <v>54142</v>
      </c>
      <c r="F15" s="9">
        <v>61858</v>
      </c>
      <c r="G15" s="9">
        <v>68346</v>
      </c>
      <c r="H15" s="9">
        <v>69751</v>
      </c>
      <c r="I15" s="9">
        <v>61546</v>
      </c>
      <c r="J15" s="9">
        <v>48335</v>
      </c>
      <c r="K15" s="9">
        <v>46001</v>
      </c>
      <c r="L15" s="18">
        <v>47652</v>
      </c>
      <c r="M15" s="18">
        <v>58796</v>
      </c>
      <c r="N15" s="28">
        <v>-19</v>
      </c>
      <c r="O15" s="32">
        <v>3.6</v>
      </c>
      <c r="P15" s="75" t="s">
        <v>2</v>
      </c>
    </row>
    <row r="16" spans="1:16" ht="24.95" customHeight="1" x14ac:dyDescent="0.2">
      <c r="A16" s="67" t="s">
        <v>290</v>
      </c>
      <c r="B16" s="9">
        <v>68725</v>
      </c>
      <c r="C16" s="9">
        <v>68964</v>
      </c>
      <c r="D16" s="9">
        <v>57739</v>
      </c>
      <c r="E16" s="9">
        <v>51701</v>
      </c>
      <c r="F16" s="9">
        <v>50952</v>
      </c>
      <c r="G16" s="9">
        <v>57272</v>
      </c>
      <c r="H16" s="9">
        <v>58477</v>
      </c>
      <c r="I16" s="9">
        <v>48899</v>
      </c>
      <c r="J16" s="9">
        <v>37964</v>
      </c>
      <c r="K16" s="9">
        <v>36585</v>
      </c>
      <c r="L16" s="18">
        <v>38004</v>
      </c>
      <c r="M16" s="18">
        <v>47839</v>
      </c>
      <c r="N16" s="28">
        <v>-20.6</v>
      </c>
      <c r="O16" s="32">
        <v>3.9</v>
      </c>
      <c r="P16" s="75" t="s">
        <v>2</v>
      </c>
    </row>
    <row r="17" spans="1:16" ht="24.95" customHeight="1" x14ac:dyDescent="0.2">
      <c r="A17" s="67" t="s">
        <v>291</v>
      </c>
      <c r="B17" s="9">
        <v>172297</v>
      </c>
      <c r="C17" s="9">
        <v>168374</v>
      </c>
      <c r="D17" s="9">
        <v>174349</v>
      </c>
      <c r="E17" s="9">
        <v>170931</v>
      </c>
      <c r="F17" s="9">
        <v>183386</v>
      </c>
      <c r="G17" s="9">
        <v>176128</v>
      </c>
      <c r="H17" s="9">
        <v>177308</v>
      </c>
      <c r="I17" s="9">
        <v>191981</v>
      </c>
      <c r="J17" s="9">
        <v>192361</v>
      </c>
      <c r="K17" s="9">
        <v>198922</v>
      </c>
      <c r="L17" s="18">
        <v>209175</v>
      </c>
      <c r="M17" s="18">
        <v>187340</v>
      </c>
      <c r="N17" s="28">
        <v>11.7</v>
      </c>
      <c r="O17" s="32">
        <v>5.2</v>
      </c>
      <c r="P17" s="75" t="s">
        <v>292</v>
      </c>
    </row>
    <row r="18" spans="1:16" ht="24.95" customHeight="1" x14ac:dyDescent="0.25">
      <c r="A18" s="12" t="s">
        <v>293</v>
      </c>
      <c r="B18" s="10">
        <v>293538</v>
      </c>
      <c r="C18" s="10">
        <v>287915</v>
      </c>
      <c r="D18" s="10">
        <v>279251</v>
      </c>
      <c r="E18" s="10">
        <v>276774</v>
      </c>
      <c r="F18" s="10">
        <v>296196</v>
      </c>
      <c r="G18" s="10">
        <v>301746</v>
      </c>
      <c r="H18" s="10">
        <v>305536</v>
      </c>
      <c r="I18" s="10">
        <v>302426</v>
      </c>
      <c r="J18" s="10">
        <v>278660</v>
      </c>
      <c r="K18" s="10">
        <v>281508</v>
      </c>
      <c r="L18" s="19">
        <v>294831</v>
      </c>
      <c r="M18" s="19">
        <v>293975</v>
      </c>
      <c r="N18" s="29">
        <v>0.3</v>
      </c>
      <c r="O18" s="33">
        <v>4.7</v>
      </c>
      <c r="P18" s="76" t="s">
        <v>2</v>
      </c>
    </row>
    <row r="19" spans="1:16" ht="24.95" customHeight="1" thickBot="1" x14ac:dyDescent="0.3">
      <c r="A19" s="30" t="s">
        <v>294</v>
      </c>
      <c r="B19" s="10">
        <v>330206</v>
      </c>
      <c r="C19" s="10">
        <v>325841</v>
      </c>
      <c r="D19" s="10">
        <v>316736</v>
      </c>
      <c r="E19" s="10">
        <v>319265</v>
      </c>
      <c r="F19" s="10">
        <v>338001</v>
      </c>
      <c r="G19" s="10">
        <v>341214</v>
      </c>
      <c r="H19" s="10">
        <v>345765</v>
      </c>
      <c r="I19" s="10">
        <v>343614</v>
      </c>
      <c r="J19" s="10">
        <v>315502</v>
      </c>
      <c r="K19" s="10">
        <v>312312</v>
      </c>
      <c r="L19" s="19">
        <v>327688</v>
      </c>
      <c r="M19" s="19">
        <v>331681</v>
      </c>
      <c r="N19" s="29">
        <v>-1.2</v>
      </c>
      <c r="O19" s="33">
        <v>4.9000000000000004</v>
      </c>
      <c r="P19" s="76" t="s">
        <v>2</v>
      </c>
    </row>
  </sheetData>
  <hyperlinks>
    <hyperlink ref="A5" r:id="rId1" xr:uid="{00000000-0004-0000-0700-000000000000}"/>
  </hyperlinks>
  <pageMargins left="0.7" right="0.7" top="0.75" bottom="0.75" header="0.3" footer="0.3"/>
  <pageSetup paperSize="9" orientation="portrait" horizontalDpi="300" verticalDpi="30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9"/>
  <sheetViews>
    <sheetView showGridLines="0" zoomScaleNormal="100" workbookViewId="0"/>
  </sheetViews>
  <sheetFormatPr defaultColWidth="11.5546875" defaultRowHeight="15" x14ac:dyDescent="0.2"/>
  <cols>
    <col min="1" max="1" width="50.6640625" customWidth="1"/>
    <col min="2" max="100" width="15.6640625" customWidth="1"/>
  </cols>
  <sheetData>
    <row r="1" spans="1:13" ht="20.25" x14ac:dyDescent="0.3">
      <c r="A1" s="4" t="s">
        <v>295</v>
      </c>
    </row>
    <row r="2" spans="1:13" x14ac:dyDescent="0.2">
      <c r="A2" t="s">
        <v>37</v>
      </c>
    </row>
    <row r="3" spans="1:13" x14ac:dyDescent="0.2">
      <c r="A3" t="s">
        <v>139</v>
      </c>
    </row>
    <row r="4" spans="1:13" x14ac:dyDescent="0.2">
      <c r="A4" s="7" t="str">
        <f>HYPERLINK("#Notes!A1", "Link to Notes table")</f>
        <v>Link to Notes table</v>
      </c>
    </row>
    <row r="5" spans="1:13" ht="15.75" thickBot="1" x14ac:dyDescent="0.25">
      <c r="A5" s="7" t="s">
        <v>140</v>
      </c>
    </row>
    <row r="6" spans="1:13" ht="32.25" thickBot="1" x14ac:dyDescent="0.3">
      <c r="A6" s="14" t="s">
        <v>296</v>
      </c>
      <c r="B6" s="15" t="s">
        <v>242</v>
      </c>
      <c r="C6" s="15" t="s">
        <v>243</v>
      </c>
      <c r="D6" s="15" t="s">
        <v>244</v>
      </c>
      <c r="E6" s="15" t="s">
        <v>245</v>
      </c>
      <c r="F6" s="15" t="s">
        <v>246</v>
      </c>
      <c r="G6" s="15" t="s">
        <v>247</v>
      </c>
      <c r="H6" s="15" t="s">
        <v>248</v>
      </c>
      <c r="I6" s="15" t="s">
        <v>249</v>
      </c>
      <c r="J6" s="15" t="s">
        <v>250</v>
      </c>
      <c r="K6" s="15" t="s">
        <v>251</v>
      </c>
      <c r="L6" s="17" t="s">
        <v>252</v>
      </c>
      <c r="M6" s="31" t="s">
        <v>155</v>
      </c>
    </row>
    <row r="7" spans="1:13" ht="24.95" customHeight="1" x14ac:dyDescent="0.2">
      <c r="A7" s="67" t="s">
        <v>297</v>
      </c>
      <c r="B7" s="9">
        <v>4645964</v>
      </c>
      <c r="C7" s="9">
        <v>5005491</v>
      </c>
      <c r="D7" s="9">
        <v>5421804</v>
      </c>
      <c r="E7" s="9">
        <v>5454072</v>
      </c>
      <c r="F7" s="9">
        <v>4889709</v>
      </c>
      <c r="G7" s="9">
        <v>4747504</v>
      </c>
      <c r="H7" s="9">
        <v>4662548</v>
      </c>
      <c r="I7" s="9">
        <v>4888704</v>
      </c>
      <c r="J7" s="9">
        <v>4562038</v>
      </c>
      <c r="K7" s="9">
        <v>4522496</v>
      </c>
      <c r="L7" s="18">
        <v>4027405</v>
      </c>
      <c r="M7" s="32">
        <v>-10.9</v>
      </c>
    </row>
    <row r="8" spans="1:13" ht="24.95" customHeight="1" x14ac:dyDescent="0.2">
      <c r="A8" s="67" t="s">
        <v>298</v>
      </c>
      <c r="B8" s="9">
        <v>1535615</v>
      </c>
      <c r="C8" s="9">
        <v>1691109</v>
      </c>
      <c r="D8" s="9">
        <v>1236946</v>
      </c>
      <c r="E8" s="9">
        <v>1707633</v>
      </c>
      <c r="F8" s="9">
        <v>1446924</v>
      </c>
      <c r="G8" s="9">
        <v>1632924</v>
      </c>
      <c r="H8" s="9">
        <v>1517913</v>
      </c>
      <c r="I8" s="9">
        <v>1093992</v>
      </c>
      <c r="J8" s="9">
        <v>1418419</v>
      </c>
      <c r="K8" s="9">
        <v>1414991</v>
      </c>
      <c r="L8" s="18">
        <v>1688282</v>
      </c>
      <c r="M8" s="32">
        <v>19.3</v>
      </c>
    </row>
    <row r="9" spans="1:13" ht="24.95" customHeight="1" x14ac:dyDescent="0.25">
      <c r="A9" s="12" t="s">
        <v>299</v>
      </c>
      <c r="B9" s="10">
        <v>6181579</v>
      </c>
      <c r="C9" s="10">
        <v>6696600</v>
      </c>
      <c r="D9" s="10">
        <v>6658750</v>
      </c>
      <c r="E9" s="10">
        <v>7161705</v>
      </c>
      <c r="F9" s="10">
        <v>6336633</v>
      </c>
      <c r="G9" s="10">
        <v>6380428</v>
      </c>
      <c r="H9" s="10">
        <v>6180461</v>
      </c>
      <c r="I9" s="10">
        <v>5982696</v>
      </c>
      <c r="J9" s="10">
        <v>5980457</v>
      </c>
      <c r="K9" s="10">
        <v>5937487</v>
      </c>
      <c r="L9" s="19">
        <v>5715687</v>
      </c>
      <c r="M9" s="33">
        <v>-3.7</v>
      </c>
    </row>
    <row r="10" spans="1:13" ht="24.95" customHeight="1" x14ac:dyDescent="0.2">
      <c r="A10" s="67" t="s">
        <v>300</v>
      </c>
      <c r="B10" s="9">
        <v>1204976</v>
      </c>
      <c r="C10" s="9">
        <v>1152764</v>
      </c>
      <c r="D10" s="9">
        <v>1249378</v>
      </c>
      <c r="E10" s="9">
        <v>1361599</v>
      </c>
      <c r="F10" s="9">
        <v>1192661</v>
      </c>
      <c r="G10" s="9">
        <v>1052048</v>
      </c>
      <c r="H10" s="9">
        <v>1025829</v>
      </c>
      <c r="I10" s="9">
        <v>850806</v>
      </c>
      <c r="J10" s="9">
        <v>1004532</v>
      </c>
      <c r="K10" s="9">
        <v>930745</v>
      </c>
      <c r="L10" s="18">
        <v>925952</v>
      </c>
      <c r="M10" s="32">
        <v>-0.5</v>
      </c>
    </row>
    <row r="11" spans="1:13" ht="24.95" customHeight="1" x14ac:dyDescent="0.2">
      <c r="A11" s="11" t="s">
        <v>301</v>
      </c>
      <c r="B11" s="9">
        <v>132073</v>
      </c>
      <c r="C11" s="9">
        <v>132178</v>
      </c>
      <c r="D11" s="9">
        <v>130937</v>
      </c>
      <c r="E11" s="9">
        <v>133941</v>
      </c>
      <c r="F11" s="9">
        <v>127768</v>
      </c>
      <c r="G11" s="9">
        <v>138618</v>
      </c>
      <c r="H11" s="9">
        <v>124261</v>
      </c>
      <c r="I11" s="9">
        <v>112841</v>
      </c>
      <c r="J11" s="9">
        <v>122274</v>
      </c>
      <c r="K11" s="9">
        <v>120448</v>
      </c>
      <c r="L11" s="18">
        <v>136080</v>
      </c>
      <c r="M11" s="32">
        <v>13</v>
      </c>
    </row>
    <row r="12" spans="1:13" ht="24.95" customHeight="1" x14ac:dyDescent="0.25">
      <c r="A12" s="12" t="s">
        <v>302</v>
      </c>
      <c r="B12" s="10">
        <v>1337049</v>
      </c>
      <c r="C12" s="10">
        <v>1284942</v>
      </c>
      <c r="D12" s="10">
        <v>1380315</v>
      </c>
      <c r="E12" s="10">
        <v>1495540</v>
      </c>
      <c r="F12" s="10">
        <v>1320429</v>
      </c>
      <c r="G12" s="10">
        <v>1190666</v>
      </c>
      <c r="H12" s="10">
        <v>1150090</v>
      </c>
      <c r="I12" s="10">
        <v>963647</v>
      </c>
      <c r="J12" s="10">
        <v>1126806</v>
      </c>
      <c r="K12" s="10">
        <v>1051193</v>
      </c>
      <c r="L12" s="19">
        <v>1062032</v>
      </c>
      <c r="M12" s="33">
        <v>1</v>
      </c>
    </row>
    <row r="13" spans="1:13" ht="24.95" customHeight="1" x14ac:dyDescent="0.2">
      <c r="A13" s="67" t="s">
        <v>303</v>
      </c>
      <c r="B13" s="9">
        <v>6603194</v>
      </c>
      <c r="C13" s="9">
        <v>6242149</v>
      </c>
      <c r="D13" s="9">
        <v>6952334</v>
      </c>
      <c r="E13" s="9">
        <v>6220942</v>
      </c>
      <c r="F13" s="9">
        <v>6707229</v>
      </c>
      <c r="G13" s="9">
        <v>6307810</v>
      </c>
      <c r="H13" s="9">
        <v>6673626</v>
      </c>
      <c r="I13" s="9">
        <v>4673633</v>
      </c>
      <c r="J13" s="9">
        <v>4808022</v>
      </c>
      <c r="K13" s="9">
        <v>5331971</v>
      </c>
      <c r="L13" s="18">
        <v>4974367</v>
      </c>
      <c r="M13" s="32">
        <v>-6.7</v>
      </c>
    </row>
    <row r="14" spans="1:13" ht="24.95" customHeight="1" x14ac:dyDescent="0.2">
      <c r="A14" s="11" t="s">
        <v>304</v>
      </c>
      <c r="B14" s="9">
        <v>10312</v>
      </c>
      <c r="C14" s="9">
        <v>12778</v>
      </c>
      <c r="D14" s="9">
        <v>13870</v>
      </c>
      <c r="E14" s="9">
        <v>15717</v>
      </c>
      <c r="F14" s="9">
        <v>15732</v>
      </c>
      <c r="G14" s="9">
        <v>13319</v>
      </c>
      <c r="H14" s="9">
        <v>13316</v>
      </c>
      <c r="I14" s="9">
        <v>1551</v>
      </c>
      <c r="J14" s="9">
        <v>2701</v>
      </c>
      <c r="K14" s="9">
        <v>3265</v>
      </c>
      <c r="L14" s="18">
        <v>2540</v>
      </c>
      <c r="M14" s="32">
        <v>-22.2</v>
      </c>
    </row>
    <row r="15" spans="1:13" ht="24.95" customHeight="1" x14ac:dyDescent="0.2">
      <c r="A15" s="67" t="s">
        <v>305</v>
      </c>
      <c r="B15" s="9">
        <v>72614</v>
      </c>
      <c r="C15" s="9">
        <v>52983</v>
      </c>
      <c r="D15" s="9">
        <v>54374</v>
      </c>
      <c r="E15" s="9">
        <v>57775</v>
      </c>
      <c r="F15" s="9">
        <v>59639</v>
      </c>
      <c r="G15" s="9">
        <v>61981</v>
      </c>
      <c r="H15" s="9">
        <v>62068</v>
      </c>
      <c r="I15" s="9">
        <v>63812</v>
      </c>
      <c r="J15" s="9">
        <v>86009</v>
      </c>
      <c r="K15" s="9">
        <v>95167</v>
      </c>
      <c r="L15" s="18">
        <v>122174</v>
      </c>
      <c r="M15" s="32">
        <v>28.4</v>
      </c>
    </row>
    <row r="16" spans="1:13" ht="24.95" customHeight="1" thickBot="1" x14ac:dyDescent="0.3">
      <c r="A16" s="30" t="s">
        <v>306</v>
      </c>
      <c r="B16" s="10">
        <v>14204748</v>
      </c>
      <c r="C16" s="10">
        <v>14289452</v>
      </c>
      <c r="D16" s="10">
        <v>15059643</v>
      </c>
      <c r="E16" s="10">
        <v>14951679</v>
      </c>
      <c r="F16" s="10">
        <v>14439662</v>
      </c>
      <c r="G16" s="10">
        <v>13954204</v>
      </c>
      <c r="H16" s="10">
        <v>14079561</v>
      </c>
      <c r="I16" s="10">
        <v>11685339</v>
      </c>
      <c r="J16" s="10">
        <v>12003995</v>
      </c>
      <c r="K16" s="10">
        <v>12419083</v>
      </c>
      <c r="L16" s="19">
        <v>11876800</v>
      </c>
      <c r="M16" s="33">
        <v>-4.4000000000000004</v>
      </c>
    </row>
    <row r="19" spans="12:12" x14ac:dyDescent="0.2">
      <c r="L19" s="54"/>
    </row>
  </sheetData>
  <hyperlinks>
    <hyperlink ref="A5" r:id="rId1" xr:uid="{00000000-0004-0000-0800-000000000000}"/>
  </hyperlinks>
  <pageMargins left="0.7" right="0.7" top="0.75" bottom="0.75" header="0.3" footer="0.3"/>
  <pageSetup paperSize="9" orientation="portrait" horizontalDpi="300" verticalDpi="30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2"/>
  <sheetViews>
    <sheetView showGridLines="0" zoomScaleNormal="100" workbookViewId="0"/>
  </sheetViews>
  <sheetFormatPr defaultColWidth="11.5546875" defaultRowHeight="15" x14ac:dyDescent="0.2"/>
  <cols>
    <col min="1" max="1" width="50.6640625" customWidth="1"/>
    <col min="2" max="15" width="15.6640625" customWidth="1"/>
    <col min="16" max="16" width="50.5546875" customWidth="1"/>
    <col min="17" max="100" width="15.6640625" customWidth="1"/>
  </cols>
  <sheetData>
    <row r="1" spans="1:16" ht="20.25" x14ac:dyDescent="0.3">
      <c r="A1" s="4" t="s">
        <v>307</v>
      </c>
    </row>
    <row r="2" spans="1:16" x14ac:dyDescent="0.2">
      <c r="A2" t="s">
        <v>37</v>
      </c>
    </row>
    <row r="3" spans="1:16" x14ac:dyDescent="0.2">
      <c r="A3" t="s">
        <v>139</v>
      </c>
    </row>
    <row r="4" spans="1:16" x14ac:dyDescent="0.2">
      <c r="A4" s="7" t="str">
        <f>HYPERLINK("#Notes!A1", "Link to Notes table")</f>
        <v>Link to Notes table</v>
      </c>
    </row>
    <row r="5" spans="1:16" ht="15.75" thickBot="1" x14ac:dyDescent="0.25">
      <c r="A5" s="7" t="s">
        <v>140</v>
      </c>
    </row>
    <row r="6" spans="1:16" ht="48" thickBot="1" x14ac:dyDescent="0.3">
      <c r="A6" s="14" t="s">
        <v>308</v>
      </c>
      <c r="B6" s="15" t="s">
        <v>242</v>
      </c>
      <c r="C6" s="15" t="s">
        <v>243</v>
      </c>
      <c r="D6" s="15" t="s">
        <v>244</v>
      </c>
      <c r="E6" s="15" t="s">
        <v>245</v>
      </c>
      <c r="F6" s="15" t="s">
        <v>246</v>
      </c>
      <c r="G6" s="15" t="s">
        <v>247</v>
      </c>
      <c r="H6" s="15" t="s">
        <v>248</v>
      </c>
      <c r="I6" s="15" t="s">
        <v>249</v>
      </c>
      <c r="J6" s="15" t="s">
        <v>250</v>
      </c>
      <c r="K6" s="15" t="s">
        <v>251</v>
      </c>
      <c r="L6" s="17" t="s">
        <v>252</v>
      </c>
      <c r="M6" s="17" t="s">
        <v>253</v>
      </c>
      <c r="N6" s="17" t="s">
        <v>154</v>
      </c>
      <c r="O6" s="20" t="s">
        <v>155</v>
      </c>
      <c r="P6" s="16" t="s">
        <v>156</v>
      </c>
    </row>
    <row r="7" spans="1:16" ht="24.95" customHeight="1" x14ac:dyDescent="0.2">
      <c r="A7" s="11" t="s">
        <v>309</v>
      </c>
      <c r="B7" s="9">
        <v>7005</v>
      </c>
      <c r="C7" s="9">
        <v>8039</v>
      </c>
      <c r="D7" s="9">
        <v>9660</v>
      </c>
      <c r="E7" s="9">
        <v>13218</v>
      </c>
      <c r="F7" s="9">
        <v>14102</v>
      </c>
      <c r="G7" s="9">
        <v>17131</v>
      </c>
      <c r="H7" s="9">
        <v>17131</v>
      </c>
      <c r="I7" s="9">
        <v>14890</v>
      </c>
      <c r="J7" s="9">
        <v>16049</v>
      </c>
      <c r="K7" s="9">
        <v>14809</v>
      </c>
      <c r="L7" s="18">
        <v>12459</v>
      </c>
      <c r="M7" s="18">
        <v>16002</v>
      </c>
      <c r="N7" s="28">
        <v>-22.1</v>
      </c>
      <c r="O7" s="23">
        <v>-15.9</v>
      </c>
      <c r="P7" s="2" t="s">
        <v>2</v>
      </c>
    </row>
    <row r="8" spans="1:16" ht="24.95" customHeight="1" x14ac:dyDescent="0.2">
      <c r="A8" s="11" t="s">
        <v>310</v>
      </c>
      <c r="B8" s="9">
        <v>35719</v>
      </c>
      <c r="C8" s="9">
        <v>34599</v>
      </c>
      <c r="D8" s="9">
        <v>34389</v>
      </c>
      <c r="E8" s="9">
        <v>34422</v>
      </c>
      <c r="F8" s="9">
        <v>33567</v>
      </c>
      <c r="G8" s="9">
        <v>34216</v>
      </c>
      <c r="H8" s="9">
        <v>34175</v>
      </c>
      <c r="I8" s="9">
        <v>30325</v>
      </c>
      <c r="J8" s="9">
        <v>30014</v>
      </c>
      <c r="K8" s="9">
        <v>31242</v>
      </c>
      <c r="L8" s="18">
        <v>29913</v>
      </c>
      <c r="M8" s="18">
        <v>31994</v>
      </c>
      <c r="N8" s="28">
        <v>-6.5</v>
      </c>
      <c r="O8" s="23">
        <v>-4.3</v>
      </c>
      <c r="P8" s="2" t="s">
        <v>311</v>
      </c>
    </row>
    <row r="9" spans="1:16" ht="24.95" customHeight="1" x14ac:dyDescent="0.2">
      <c r="A9" s="11" t="s">
        <v>312</v>
      </c>
      <c r="B9" s="9">
        <v>1447</v>
      </c>
      <c r="C9" s="9">
        <v>1361</v>
      </c>
      <c r="D9" s="9">
        <v>916</v>
      </c>
      <c r="E9" s="9">
        <v>1140</v>
      </c>
      <c r="F9" s="9">
        <v>1123</v>
      </c>
      <c r="G9" s="9">
        <v>1523</v>
      </c>
      <c r="H9" s="9">
        <v>1282</v>
      </c>
      <c r="I9" s="9">
        <v>1069</v>
      </c>
      <c r="J9" s="9">
        <v>1164</v>
      </c>
      <c r="K9" s="9">
        <v>1152</v>
      </c>
      <c r="L9" s="18">
        <v>1193</v>
      </c>
      <c r="M9" s="18">
        <v>1238</v>
      </c>
      <c r="N9" s="28">
        <v>-3.6</v>
      </c>
      <c r="O9" s="23">
        <v>3.6</v>
      </c>
      <c r="P9" s="2" t="s">
        <v>2</v>
      </c>
    </row>
    <row r="10" spans="1:16" ht="24.95" customHeight="1" x14ac:dyDescent="0.2">
      <c r="A10" s="11" t="s">
        <v>313</v>
      </c>
      <c r="B10" s="9">
        <v>4614</v>
      </c>
      <c r="C10" s="9">
        <v>4844</v>
      </c>
      <c r="D10" s="9">
        <v>5591</v>
      </c>
      <c r="E10" s="9">
        <v>6150</v>
      </c>
      <c r="F10" s="9">
        <v>6855</v>
      </c>
      <c r="G10" s="9">
        <v>7836</v>
      </c>
      <c r="H10" s="9">
        <v>7834</v>
      </c>
      <c r="I10" s="9">
        <v>7138</v>
      </c>
      <c r="J10" s="9">
        <v>7543</v>
      </c>
      <c r="K10" s="9">
        <v>7895</v>
      </c>
      <c r="L10" s="18">
        <v>7353</v>
      </c>
      <c r="M10" s="18">
        <v>7649</v>
      </c>
      <c r="N10" s="28">
        <v>-3.9</v>
      </c>
      <c r="O10" s="23">
        <v>-6.9</v>
      </c>
      <c r="P10" s="2" t="s">
        <v>2</v>
      </c>
    </row>
    <row r="11" spans="1:16" ht="24.95" customHeight="1" x14ac:dyDescent="0.2">
      <c r="A11" s="11" t="s">
        <v>314</v>
      </c>
      <c r="B11" s="9">
        <v>1779</v>
      </c>
      <c r="C11" s="9">
        <v>1705</v>
      </c>
      <c r="D11" s="9">
        <v>1608</v>
      </c>
      <c r="E11" s="9">
        <v>1748</v>
      </c>
      <c r="F11" s="9">
        <v>1738</v>
      </c>
      <c r="G11" s="9">
        <v>2198</v>
      </c>
      <c r="H11" s="9">
        <v>1942</v>
      </c>
      <c r="I11" s="9">
        <v>1706</v>
      </c>
      <c r="J11" s="9">
        <v>1896</v>
      </c>
      <c r="K11" s="9">
        <v>2210</v>
      </c>
      <c r="L11" s="18">
        <v>2148</v>
      </c>
      <c r="M11" s="18">
        <v>1990</v>
      </c>
      <c r="N11" s="28">
        <v>7.9</v>
      </c>
      <c r="O11" s="23">
        <v>-2.8</v>
      </c>
      <c r="P11" s="2" t="s">
        <v>2</v>
      </c>
    </row>
    <row r="12" spans="1:16" ht="24.95" customHeight="1" thickBot="1" x14ac:dyDescent="0.25">
      <c r="A12" s="13" t="s">
        <v>315</v>
      </c>
      <c r="B12" s="9">
        <v>4855</v>
      </c>
      <c r="C12" s="9">
        <v>4272</v>
      </c>
      <c r="D12" s="9">
        <v>3208</v>
      </c>
      <c r="E12" s="9">
        <v>3874</v>
      </c>
      <c r="F12" s="9">
        <v>4116</v>
      </c>
      <c r="G12" s="9">
        <v>4485</v>
      </c>
      <c r="H12" s="9">
        <v>4472</v>
      </c>
      <c r="I12" s="9">
        <v>6505</v>
      </c>
      <c r="J12" s="9">
        <v>4957</v>
      </c>
      <c r="K12" s="9">
        <v>5003</v>
      </c>
      <c r="L12" s="18">
        <v>4218</v>
      </c>
      <c r="M12" s="18">
        <v>5084</v>
      </c>
      <c r="N12" s="28">
        <v>-17</v>
      </c>
      <c r="O12" s="23">
        <v>-15.7</v>
      </c>
      <c r="P12" s="2" t="s">
        <v>2</v>
      </c>
    </row>
  </sheetData>
  <hyperlinks>
    <hyperlink ref="A5" r:id="rId1" xr:uid="{00000000-0004-0000-0900-000000000000}"/>
  </hyperlinks>
  <pageMargins left="0.7" right="0.7" top="0.75" bottom="0.75" header="0.3" footer="0.3"/>
  <pageSetup paperSize="9" orientation="portrait" horizontalDpi="300" verticalDpi="30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6"/>
  <sheetViews>
    <sheetView showGridLines="0" zoomScaleNormal="100" workbookViewId="0"/>
  </sheetViews>
  <sheetFormatPr defaultColWidth="11.5546875" defaultRowHeight="15" x14ac:dyDescent="0.2"/>
  <cols>
    <col min="1" max="1" width="50.6640625" customWidth="1"/>
    <col min="2" max="15" width="15.6640625" customWidth="1"/>
    <col min="16" max="16" width="50.5546875" customWidth="1"/>
    <col min="17" max="100" width="15.6640625" customWidth="1"/>
  </cols>
  <sheetData>
    <row r="1" spans="1:16" ht="20.25" x14ac:dyDescent="0.3">
      <c r="A1" s="4" t="s">
        <v>316</v>
      </c>
    </row>
    <row r="2" spans="1:16" x14ac:dyDescent="0.2">
      <c r="A2" t="s">
        <v>37</v>
      </c>
      <c r="L2" s="55"/>
      <c r="M2" s="55"/>
    </row>
    <row r="3" spans="1:16" x14ac:dyDescent="0.2">
      <c r="A3" t="s">
        <v>139</v>
      </c>
      <c r="L3" s="54"/>
    </row>
    <row r="4" spans="1:16" x14ac:dyDescent="0.2">
      <c r="A4" s="7" t="str">
        <f>HYPERLINK("#Notes!A1", "Link to Notes table")</f>
        <v>Link to Notes table</v>
      </c>
      <c r="L4" s="54"/>
    </row>
    <row r="5" spans="1:16" ht="15.75" thickBot="1" x14ac:dyDescent="0.25">
      <c r="A5" s="7" t="s">
        <v>140</v>
      </c>
    </row>
    <row r="6" spans="1:16" ht="48" thickBot="1" x14ac:dyDescent="0.3">
      <c r="A6" s="14" t="s">
        <v>317</v>
      </c>
      <c r="B6" s="15" t="s">
        <v>242</v>
      </c>
      <c r="C6" s="15" t="s">
        <v>243</v>
      </c>
      <c r="D6" s="15" t="s">
        <v>244</v>
      </c>
      <c r="E6" s="15" t="s">
        <v>245</v>
      </c>
      <c r="F6" s="15" t="s">
        <v>246</v>
      </c>
      <c r="G6" s="15" t="s">
        <v>247</v>
      </c>
      <c r="H6" s="15" t="s">
        <v>248</v>
      </c>
      <c r="I6" s="15" t="s">
        <v>249</v>
      </c>
      <c r="J6" s="15" t="s">
        <v>250</v>
      </c>
      <c r="K6" s="15" t="s">
        <v>251</v>
      </c>
      <c r="L6" s="17" t="s">
        <v>252</v>
      </c>
      <c r="M6" s="17" t="s">
        <v>253</v>
      </c>
      <c r="N6" s="17" t="s">
        <v>154</v>
      </c>
      <c r="O6" s="17" t="s">
        <v>155</v>
      </c>
      <c r="P6" s="16" t="s">
        <v>156</v>
      </c>
    </row>
    <row r="7" spans="1:16" ht="24.95" customHeight="1" x14ac:dyDescent="0.2">
      <c r="A7" s="67" t="s">
        <v>318</v>
      </c>
      <c r="B7" s="9">
        <v>10699</v>
      </c>
      <c r="C7" s="9">
        <v>11108</v>
      </c>
      <c r="D7" s="9">
        <v>11193</v>
      </c>
      <c r="E7" s="9">
        <v>11270</v>
      </c>
      <c r="F7" s="9">
        <v>11385</v>
      </c>
      <c r="G7" s="9">
        <v>11722</v>
      </c>
      <c r="H7" s="9">
        <v>11684</v>
      </c>
      <c r="I7" s="9">
        <v>11391</v>
      </c>
      <c r="J7" s="9">
        <v>11111</v>
      </c>
      <c r="K7" s="9">
        <v>11478</v>
      </c>
      <c r="L7" s="18">
        <v>10789</v>
      </c>
      <c r="M7" s="18">
        <v>11477</v>
      </c>
      <c r="N7" s="28">
        <v>-6</v>
      </c>
      <c r="O7" s="28">
        <v>-6</v>
      </c>
      <c r="P7" s="2" t="s">
        <v>2</v>
      </c>
    </row>
    <row r="8" spans="1:16" ht="24.95" customHeight="1" x14ac:dyDescent="0.2">
      <c r="A8" s="67" t="s">
        <v>319</v>
      </c>
      <c r="B8" s="9">
        <v>5745</v>
      </c>
      <c r="C8" s="9">
        <v>5923</v>
      </c>
      <c r="D8" s="9">
        <v>6030</v>
      </c>
      <c r="E8" s="9">
        <v>6021</v>
      </c>
      <c r="F8" s="9">
        <v>6041</v>
      </c>
      <c r="G8" s="9">
        <v>6354</v>
      </c>
      <c r="H8" s="9">
        <v>6339</v>
      </c>
      <c r="I8" s="9">
        <v>6035</v>
      </c>
      <c r="J8" s="9">
        <v>6006</v>
      </c>
      <c r="K8" s="9">
        <v>5832</v>
      </c>
      <c r="L8" s="18">
        <v>5842</v>
      </c>
      <c r="M8" s="18">
        <v>6113</v>
      </c>
      <c r="N8" s="28">
        <v>-4.4000000000000004</v>
      </c>
      <c r="O8" s="28">
        <v>0.2</v>
      </c>
      <c r="P8" s="2" t="s">
        <v>2</v>
      </c>
    </row>
    <row r="9" spans="1:16" ht="24.95" customHeight="1" x14ac:dyDescent="0.2">
      <c r="A9" s="67" t="s">
        <v>320</v>
      </c>
      <c r="B9" s="9">
        <v>20270</v>
      </c>
      <c r="C9" s="9">
        <v>20704</v>
      </c>
      <c r="D9" s="9">
        <v>20198</v>
      </c>
      <c r="E9" s="9">
        <v>20540</v>
      </c>
      <c r="F9" s="9">
        <v>20462</v>
      </c>
      <c r="G9" s="9">
        <v>20232</v>
      </c>
      <c r="H9" s="9">
        <v>20234</v>
      </c>
      <c r="I9" s="9">
        <v>17908</v>
      </c>
      <c r="J9" s="9">
        <v>17790</v>
      </c>
      <c r="K9" s="9">
        <v>17902</v>
      </c>
      <c r="L9" s="18">
        <v>17523</v>
      </c>
      <c r="M9" s="18">
        <v>18813</v>
      </c>
      <c r="N9" s="28">
        <v>-6.9</v>
      </c>
      <c r="O9" s="28">
        <v>-2.1</v>
      </c>
      <c r="P9" s="2" t="s">
        <v>2</v>
      </c>
    </row>
    <row r="10" spans="1:16" ht="24.95" customHeight="1" x14ac:dyDescent="0.25">
      <c r="A10" s="12" t="s">
        <v>321</v>
      </c>
      <c r="B10" s="10">
        <v>36714</v>
      </c>
      <c r="C10" s="10">
        <v>37735</v>
      </c>
      <c r="D10" s="10">
        <v>37421</v>
      </c>
      <c r="E10" s="10">
        <v>37831</v>
      </c>
      <c r="F10" s="10">
        <v>37888</v>
      </c>
      <c r="G10" s="10">
        <v>38308</v>
      </c>
      <c r="H10" s="10">
        <v>38257</v>
      </c>
      <c r="I10" s="10">
        <v>35334</v>
      </c>
      <c r="J10" s="10">
        <v>34907</v>
      </c>
      <c r="K10" s="10">
        <v>35212</v>
      </c>
      <c r="L10" s="19">
        <v>34154</v>
      </c>
      <c r="M10" s="19">
        <v>36404</v>
      </c>
      <c r="N10" s="29">
        <v>-6.2</v>
      </c>
      <c r="O10" s="29">
        <v>-3</v>
      </c>
      <c r="P10" s="6" t="s">
        <v>2</v>
      </c>
    </row>
    <row r="11" spans="1:16" ht="24.95" customHeight="1" x14ac:dyDescent="0.2">
      <c r="A11" s="67" t="s">
        <v>322</v>
      </c>
      <c r="B11" s="9">
        <v>8758</v>
      </c>
      <c r="C11" s="9">
        <v>10335</v>
      </c>
      <c r="D11" s="9">
        <v>11467</v>
      </c>
      <c r="E11" s="9">
        <v>12050</v>
      </c>
      <c r="F11" s="9">
        <v>11760</v>
      </c>
      <c r="G11" s="9">
        <v>13033</v>
      </c>
      <c r="H11" s="9">
        <v>13170</v>
      </c>
      <c r="I11" s="9">
        <v>13740</v>
      </c>
      <c r="J11" s="9">
        <v>14443</v>
      </c>
      <c r="K11" s="9">
        <v>14424</v>
      </c>
      <c r="L11" s="18">
        <v>14455</v>
      </c>
      <c r="M11" s="18">
        <v>13762</v>
      </c>
      <c r="N11" s="28">
        <v>5</v>
      </c>
      <c r="O11" s="28">
        <v>0.2</v>
      </c>
      <c r="P11" s="2" t="s">
        <v>2</v>
      </c>
    </row>
    <row r="12" spans="1:16" ht="24.95" customHeight="1" x14ac:dyDescent="0.2">
      <c r="A12" s="67" t="s">
        <v>323</v>
      </c>
      <c r="B12" s="9">
        <v>7144</v>
      </c>
      <c r="C12" s="9">
        <v>7138</v>
      </c>
      <c r="D12" s="9">
        <v>7090</v>
      </c>
      <c r="E12" s="9">
        <v>6925</v>
      </c>
      <c r="F12" s="9">
        <v>6700</v>
      </c>
      <c r="G12" s="9">
        <v>6532</v>
      </c>
      <c r="H12" s="9">
        <v>6511</v>
      </c>
      <c r="I12" s="9">
        <v>6788</v>
      </c>
      <c r="J12" s="9">
        <v>7151</v>
      </c>
      <c r="K12" s="9">
        <v>7315</v>
      </c>
      <c r="L12" s="18">
        <v>7274</v>
      </c>
      <c r="M12" s="18">
        <v>6859</v>
      </c>
      <c r="N12" s="28">
        <v>6.1</v>
      </c>
      <c r="O12" s="28">
        <v>-0.6</v>
      </c>
      <c r="P12" s="2" t="s">
        <v>2</v>
      </c>
    </row>
    <row r="13" spans="1:16" ht="24.95" customHeight="1" x14ac:dyDescent="0.2">
      <c r="A13" s="67" t="s">
        <v>324</v>
      </c>
      <c r="B13" s="9">
        <v>1852</v>
      </c>
      <c r="C13" s="9">
        <v>1700</v>
      </c>
      <c r="D13" s="9">
        <v>1662</v>
      </c>
      <c r="E13" s="9">
        <v>1644</v>
      </c>
      <c r="F13" s="9">
        <v>1630</v>
      </c>
      <c r="G13" s="9">
        <v>1802</v>
      </c>
      <c r="H13" s="9">
        <v>1805</v>
      </c>
      <c r="I13" s="9">
        <v>1727</v>
      </c>
      <c r="J13" s="9">
        <v>1682</v>
      </c>
      <c r="K13" s="9">
        <v>1560</v>
      </c>
      <c r="L13" s="18">
        <v>1569</v>
      </c>
      <c r="M13" s="18">
        <v>1715</v>
      </c>
      <c r="N13" s="28">
        <v>-8.5</v>
      </c>
      <c r="O13" s="28">
        <v>0.6</v>
      </c>
      <c r="P13" s="2" t="s">
        <v>2</v>
      </c>
    </row>
    <row r="14" spans="1:16" ht="24.95" customHeight="1" x14ac:dyDescent="0.2">
      <c r="A14" s="67" t="s">
        <v>325</v>
      </c>
      <c r="B14" s="9">
        <v>2328</v>
      </c>
      <c r="C14" s="9">
        <v>2730</v>
      </c>
      <c r="D14" s="9">
        <v>2621</v>
      </c>
      <c r="E14" s="9">
        <v>2591</v>
      </c>
      <c r="F14" s="9">
        <v>2655</v>
      </c>
      <c r="G14" s="9">
        <v>2848</v>
      </c>
      <c r="H14" s="9">
        <v>2850</v>
      </c>
      <c r="I14" s="9">
        <v>3281</v>
      </c>
      <c r="J14" s="9">
        <v>3564</v>
      </c>
      <c r="K14" s="9">
        <v>3310</v>
      </c>
      <c r="L14" s="18">
        <v>3431</v>
      </c>
      <c r="M14" s="18">
        <v>3171</v>
      </c>
      <c r="N14" s="28">
        <v>8.1999999999999993</v>
      </c>
      <c r="O14" s="28">
        <v>3.7</v>
      </c>
      <c r="P14" s="2" t="s">
        <v>2</v>
      </c>
    </row>
    <row r="15" spans="1:16" ht="24.95" customHeight="1" x14ac:dyDescent="0.25">
      <c r="A15" s="12" t="s">
        <v>326</v>
      </c>
      <c r="B15" s="10">
        <v>11324</v>
      </c>
      <c r="C15" s="10">
        <v>11568</v>
      </c>
      <c r="D15" s="10">
        <v>11373</v>
      </c>
      <c r="E15" s="10">
        <v>11160</v>
      </c>
      <c r="F15" s="10">
        <v>10985</v>
      </c>
      <c r="G15" s="10">
        <v>11182</v>
      </c>
      <c r="H15" s="10">
        <v>11166</v>
      </c>
      <c r="I15" s="10">
        <v>11796</v>
      </c>
      <c r="J15" s="10">
        <v>12397</v>
      </c>
      <c r="K15" s="10">
        <v>12185</v>
      </c>
      <c r="L15" s="19">
        <v>12274</v>
      </c>
      <c r="M15" s="19">
        <v>11745</v>
      </c>
      <c r="N15" s="29">
        <v>4.5</v>
      </c>
      <c r="O15" s="29">
        <v>0.7</v>
      </c>
      <c r="P15" s="6" t="s">
        <v>2</v>
      </c>
    </row>
    <row r="16" spans="1:16" ht="24.95" customHeight="1" x14ac:dyDescent="0.2">
      <c r="A16" s="67" t="s">
        <v>327</v>
      </c>
      <c r="B16" s="9">
        <v>1005</v>
      </c>
      <c r="C16" s="9">
        <v>1035</v>
      </c>
      <c r="D16" s="9">
        <v>1060</v>
      </c>
      <c r="E16" s="9">
        <v>1106</v>
      </c>
      <c r="F16" s="9">
        <v>1062</v>
      </c>
      <c r="G16" s="9">
        <v>1068</v>
      </c>
      <c r="H16" s="9">
        <v>1069</v>
      </c>
      <c r="I16" s="9">
        <v>1342</v>
      </c>
      <c r="J16" s="9">
        <v>1448</v>
      </c>
      <c r="K16" s="9">
        <v>1645</v>
      </c>
      <c r="L16" s="18">
        <v>1531</v>
      </c>
      <c r="M16" s="18">
        <v>1314</v>
      </c>
      <c r="N16" s="28">
        <v>16.5</v>
      </c>
      <c r="O16" s="28">
        <v>-6.9</v>
      </c>
      <c r="P16" s="2" t="s">
        <v>2</v>
      </c>
    </row>
    <row r="17" spans="1:16" ht="24.95" customHeight="1" x14ac:dyDescent="0.2">
      <c r="A17" s="67" t="s">
        <v>328</v>
      </c>
      <c r="B17" s="9">
        <v>356</v>
      </c>
      <c r="C17" s="9">
        <v>358</v>
      </c>
      <c r="D17" s="9">
        <v>360</v>
      </c>
      <c r="E17" s="9">
        <v>399</v>
      </c>
      <c r="F17" s="9">
        <v>409</v>
      </c>
      <c r="G17" s="9">
        <v>458</v>
      </c>
      <c r="H17" s="9">
        <v>469</v>
      </c>
      <c r="I17" s="9">
        <v>688</v>
      </c>
      <c r="J17" s="9">
        <v>655</v>
      </c>
      <c r="K17" s="9">
        <v>621</v>
      </c>
      <c r="L17" s="18">
        <v>630</v>
      </c>
      <c r="M17" s="18">
        <v>578</v>
      </c>
      <c r="N17" s="28">
        <v>9</v>
      </c>
      <c r="O17" s="28">
        <v>1.4</v>
      </c>
      <c r="P17" s="2" t="s">
        <v>2</v>
      </c>
    </row>
    <row r="18" spans="1:16" ht="24.95" customHeight="1" x14ac:dyDescent="0.2">
      <c r="A18" s="67" t="s">
        <v>329</v>
      </c>
      <c r="B18" s="9">
        <v>408</v>
      </c>
      <c r="C18" s="9">
        <v>455</v>
      </c>
      <c r="D18" s="9">
        <v>446</v>
      </c>
      <c r="E18" s="9">
        <v>445</v>
      </c>
      <c r="F18" s="9">
        <v>463</v>
      </c>
      <c r="G18" s="9">
        <v>678</v>
      </c>
      <c r="H18" s="9">
        <v>683</v>
      </c>
      <c r="I18" s="9">
        <v>1223</v>
      </c>
      <c r="J18" s="9">
        <v>1392</v>
      </c>
      <c r="K18" s="9">
        <v>1342</v>
      </c>
      <c r="L18" s="18">
        <v>1334</v>
      </c>
      <c r="M18" s="18">
        <v>1064</v>
      </c>
      <c r="N18" s="28">
        <v>25.4</v>
      </c>
      <c r="O18" s="28">
        <v>-0.6</v>
      </c>
      <c r="P18" s="2" t="s">
        <v>2</v>
      </c>
    </row>
    <row r="19" spans="1:16" ht="24.95" customHeight="1" x14ac:dyDescent="0.25">
      <c r="A19" s="12" t="s">
        <v>330</v>
      </c>
      <c r="B19" s="10">
        <v>1769</v>
      </c>
      <c r="C19" s="10">
        <v>1848</v>
      </c>
      <c r="D19" s="10">
        <v>1866</v>
      </c>
      <c r="E19" s="10">
        <v>1950</v>
      </c>
      <c r="F19" s="10">
        <v>1934</v>
      </c>
      <c r="G19" s="10">
        <v>2204</v>
      </c>
      <c r="H19" s="10">
        <v>2221</v>
      </c>
      <c r="I19" s="10">
        <v>3253</v>
      </c>
      <c r="J19" s="10">
        <v>3495</v>
      </c>
      <c r="K19" s="10">
        <v>3608</v>
      </c>
      <c r="L19" s="19">
        <v>3495</v>
      </c>
      <c r="M19" s="19">
        <v>2956</v>
      </c>
      <c r="N19" s="29">
        <v>18.2</v>
      </c>
      <c r="O19" s="29">
        <v>-3.1</v>
      </c>
      <c r="P19" s="6" t="s">
        <v>2</v>
      </c>
    </row>
    <row r="20" spans="1:16" ht="24.95" customHeight="1" x14ac:dyDescent="0.25">
      <c r="A20" s="12" t="s">
        <v>331</v>
      </c>
      <c r="B20" s="10">
        <v>13093</v>
      </c>
      <c r="C20" s="10">
        <v>13416</v>
      </c>
      <c r="D20" s="10">
        <v>13239</v>
      </c>
      <c r="E20" s="10">
        <v>13110</v>
      </c>
      <c r="F20" s="10">
        <v>12919</v>
      </c>
      <c r="G20" s="10">
        <v>13386</v>
      </c>
      <c r="H20" s="10">
        <v>13387</v>
      </c>
      <c r="I20" s="10">
        <v>15049</v>
      </c>
      <c r="J20" s="10">
        <v>15892</v>
      </c>
      <c r="K20" s="10">
        <v>15793</v>
      </c>
      <c r="L20" s="19">
        <v>15769</v>
      </c>
      <c r="M20" s="19">
        <v>14701</v>
      </c>
      <c r="N20" s="29">
        <v>7.3</v>
      </c>
      <c r="O20" s="29">
        <v>-0.2</v>
      </c>
      <c r="P20" s="6" t="s">
        <v>2</v>
      </c>
    </row>
    <row r="21" spans="1:16" ht="24.95" customHeight="1" x14ac:dyDescent="0.2">
      <c r="A21" s="67" t="s">
        <v>332</v>
      </c>
      <c r="B21" s="9">
        <v>2118</v>
      </c>
      <c r="C21" s="9">
        <v>2210</v>
      </c>
      <c r="D21" s="9">
        <v>2242</v>
      </c>
      <c r="E21" s="9">
        <v>2113</v>
      </c>
      <c r="F21" s="9">
        <v>2179</v>
      </c>
      <c r="G21" s="9">
        <v>2085</v>
      </c>
      <c r="H21" s="9">
        <v>2081</v>
      </c>
      <c r="I21" s="9">
        <v>1986</v>
      </c>
      <c r="J21" s="9">
        <v>2068</v>
      </c>
      <c r="K21" s="9">
        <v>2019</v>
      </c>
      <c r="L21" s="18">
        <v>1902</v>
      </c>
      <c r="M21" s="18">
        <v>2048</v>
      </c>
      <c r="N21" s="28">
        <v>-7.1</v>
      </c>
      <c r="O21" s="28">
        <v>-5.8</v>
      </c>
      <c r="P21" s="2" t="s">
        <v>2</v>
      </c>
    </row>
    <row r="22" spans="1:16" ht="24.95" customHeight="1" x14ac:dyDescent="0.2">
      <c r="A22" s="67" t="s">
        <v>333</v>
      </c>
      <c r="B22" s="9">
        <v>1829</v>
      </c>
      <c r="C22" s="9">
        <v>1868</v>
      </c>
      <c r="D22" s="9">
        <v>1851</v>
      </c>
      <c r="E22" s="9">
        <v>1897</v>
      </c>
      <c r="F22" s="9">
        <v>1880</v>
      </c>
      <c r="G22" s="9">
        <v>1896</v>
      </c>
      <c r="H22" s="9">
        <v>1890</v>
      </c>
      <c r="I22" s="9">
        <v>1705</v>
      </c>
      <c r="J22" s="9">
        <v>1678</v>
      </c>
      <c r="K22" s="9">
        <v>1443</v>
      </c>
      <c r="L22" s="18">
        <v>1532</v>
      </c>
      <c r="M22" s="18">
        <v>1722</v>
      </c>
      <c r="N22" s="28">
        <v>-11</v>
      </c>
      <c r="O22" s="28">
        <v>6.2</v>
      </c>
      <c r="P22" s="2" t="s">
        <v>2</v>
      </c>
    </row>
    <row r="23" spans="1:16" ht="24.95" customHeight="1" x14ac:dyDescent="0.2">
      <c r="A23" s="67" t="s">
        <v>334</v>
      </c>
      <c r="B23" s="9">
        <v>795</v>
      </c>
      <c r="C23" s="9">
        <v>832</v>
      </c>
      <c r="D23" s="9">
        <v>812</v>
      </c>
      <c r="E23" s="9">
        <v>784</v>
      </c>
      <c r="F23" s="9">
        <v>830</v>
      </c>
      <c r="G23" s="9">
        <v>890</v>
      </c>
      <c r="H23" s="9">
        <v>889</v>
      </c>
      <c r="I23" s="9">
        <v>985</v>
      </c>
      <c r="J23" s="9">
        <v>1047</v>
      </c>
      <c r="K23" s="9">
        <v>979</v>
      </c>
      <c r="L23" s="18">
        <v>1142</v>
      </c>
      <c r="M23" s="18">
        <v>958</v>
      </c>
      <c r="N23" s="28">
        <v>19.2</v>
      </c>
      <c r="O23" s="28">
        <v>16.600000000000001</v>
      </c>
      <c r="P23" s="2" t="s">
        <v>2</v>
      </c>
    </row>
    <row r="24" spans="1:16" ht="24.95" customHeight="1" x14ac:dyDescent="0.25">
      <c r="A24" s="12" t="s">
        <v>335</v>
      </c>
      <c r="B24" s="10">
        <v>4742</v>
      </c>
      <c r="C24" s="10">
        <v>4910</v>
      </c>
      <c r="D24" s="10">
        <v>4905</v>
      </c>
      <c r="E24" s="10">
        <v>4794</v>
      </c>
      <c r="F24" s="10">
        <v>4889</v>
      </c>
      <c r="G24" s="10">
        <v>4871</v>
      </c>
      <c r="H24" s="10">
        <v>4860</v>
      </c>
      <c r="I24" s="10">
        <v>4676</v>
      </c>
      <c r="J24" s="10">
        <v>4793</v>
      </c>
      <c r="K24" s="10">
        <v>4441</v>
      </c>
      <c r="L24" s="19">
        <v>4576</v>
      </c>
      <c r="M24" s="19">
        <v>4728</v>
      </c>
      <c r="N24" s="29">
        <v>-3.2</v>
      </c>
      <c r="O24" s="29">
        <v>3</v>
      </c>
      <c r="P24" s="6" t="s">
        <v>2</v>
      </c>
    </row>
    <row r="25" spans="1:16" ht="24.95" customHeight="1" x14ac:dyDescent="0.2">
      <c r="A25" s="67" t="s">
        <v>336</v>
      </c>
      <c r="B25" s="9">
        <v>1162</v>
      </c>
      <c r="C25" s="9">
        <v>1179</v>
      </c>
      <c r="D25" s="9">
        <v>1173</v>
      </c>
      <c r="E25" s="9">
        <v>1160</v>
      </c>
      <c r="F25" s="9">
        <v>1102</v>
      </c>
      <c r="G25" s="9">
        <v>1101</v>
      </c>
      <c r="H25" s="9">
        <v>1109</v>
      </c>
      <c r="I25" s="9">
        <v>1164</v>
      </c>
      <c r="J25" s="9">
        <v>1222</v>
      </c>
      <c r="K25" s="9">
        <v>1211</v>
      </c>
      <c r="L25" s="18">
        <v>1160</v>
      </c>
      <c r="M25" s="18">
        <v>1161</v>
      </c>
      <c r="N25" s="28">
        <v>-0.1</v>
      </c>
      <c r="O25" s="28">
        <v>-4.2</v>
      </c>
      <c r="P25" s="2" t="s">
        <v>2</v>
      </c>
    </row>
    <row r="26" spans="1:16" ht="24.95" customHeight="1" x14ac:dyDescent="0.2">
      <c r="A26" s="67" t="s">
        <v>337</v>
      </c>
      <c r="B26" s="9">
        <v>980</v>
      </c>
      <c r="C26" s="9">
        <v>1049</v>
      </c>
      <c r="D26" s="9">
        <v>1080</v>
      </c>
      <c r="E26" s="9">
        <v>1122</v>
      </c>
      <c r="F26" s="9">
        <v>1138</v>
      </c>
      <c r="G26" s="9">
        <v>1182</v>
      </c>
      <c r="H26" s="9">
        <v>1188</v>
      </c>
      <c r="I26" s="9">
        <v>1340</v>
      </c>
      <c r="J26" s="9">
        <v>1310</v>
      </c>
      <c r="K26" s="9">
        <v>1113</v>
      </c>
      <c r="L26" s="18">
        <v>1257</v>
      </c>
      <c r="M26" s="18">
        <v>1227</v>
      </c>
      <c r="N26" s="28">
        <v>2.4</v>
      </c>
      <c r="O26" s="28">
        <v>12.9</v>
      </c>
      <c r="P26" s="2" t="s">
        <v>2</v>
      </c>
    </row>
    <row r="27" spans="1:16" ht="24.95" customHeight="1" x14ac:dyDescent="0.2">
      <c r="A27" s="67" t="s">
        <v>338</v>
      </c>
      <c r="B27" s="9">
        <v>432</v>
      </c>
      <c r="C27" s="9">
        <v>462</v>
      </c>
      <c r="D27" s="9">
        <v>476</v>
      </c>
      <c r="E27" s="9">
        <v>469</v>
      </c>
      <c r="F27" s="9">
        <v>500</v>
      </c>
      <c r="G27" s="9">
        <v>558</v>
      </c>
      <c r="H27" s="9">
        <v>555</v>
      </c>
      <c r="I27" s="9">
        <v>883</v>
      </c>
      <c r="J27" s="9">
        <v>938</v>
      </c>
      <c r="K27" s="9">
        <v>861</v>
      </c>
      <c r="L27" s="18">
        <v>1037</v>
      </c>
      <c r="M27" s="18">
        <v>759</v>
      </c>
      <c r="N27" s="28">
        <v>36.6</v>
      </c>
      <c r="O27" s="28">
        <v>20.399999999999999</v>
      </c>
      <c r="P27" s="2" t="s">
        <v>2</v>
      </c>
    </row>
    <row r="28" spans="1:16" ht="24.95" customHeight="1" x14ac:dyDescent="0.25">
      <c r="A28" s="12" t="s">
        <v>339</v>
      </c>
      <c r="B28" s="10">
        <v>2574</v>
      </c>
      <c r="C28" s="10">
        <v>2690</v>
      </c>
      <c r="D28" s="10">
        <v>2729</v>
      </c>
      <c r="E28" s="10">
        <v>2751</v>
      </c>
      <c r="F28" s="10">
        <v>2740</v>
      </c>
      <c r="G28" s="10">
        <v>2841</v>
      </c>
      <c r="H28" s="10">
        <v>2852</v>
      </c>
      <c r="I28" s="10">
        <v>3387</v>
      </c>
      <c r="J28" s="10">
        <v>3470</v>
      </c>
      <c r="K28" s="10">
        <v>3185</v>
      </c>
      <c r="L28" s="19">
        <v>3454</v>
      </c>
      <c r="M28" s="19">
        <v>3147</v>
      </c>
      <c r="N28" s="29">
        <v>9.8000000000000007</v>
      </c>
      <c r="O28" s="29">
        <v>8.4</v>
      </c>
      <c r="P28" s="6" t="s">
        <v>2</v>
      </c>
    </row>
    <row r="29" spans="1:16" ht="24.95" customHeight="1" x14ac:dyDescent="0.25">
      <c r="A29" s="12" t="s">
        <v>340</v>
      </c>
      <c r="B29" s="10">
        <v>7316</v>
      </c>
      <c r="C29" s="10">
        <v>7600</v>
      </c>
      <c r="D29" s="10">
        <v>7634</v>
      </c>
      <c r="E29" s="10">
        <v>7545</v>
      </c>
      <c r="F29" s="10">
        <v>7629</v>
      </c>
      <c r="G29" s="10">
        <v>7712</v>
      </c>
      <c r="H29" s="10">
        <v>7712</v>
      </c>
      <c r="I29" s="10">
        <v>8063</v>
      </c>
      <c r="J29" s="10">
        <v>8263</v>
      </c>
      <c r="K29" s="10">
        <v>7626</v>
      </c>
      <c r="L29" s="19">
        <v>8030</v>
      </c>
      <c r="M29" s="19">
        <v>7875</v>
      </c>
      <c r="N29" s="29">
        <v>2</v>
      </c>
      <c r="O29" s="29">
        <v>5.3</v>
      </c>
      <c r="P29" s="6" t="s">
        <v>2</v>
      </c>
    </row>
    <row r="30" spans="1:16" ht="24.95" customHeight="1" x14ac:dyDescent="0.25">
      <c r="A30" s="12" t="s">
        <v>341</v>
      </c>
      <c r="B30" s="10">
        <v>20409</v>
      </c>
      <c r="C30" s="10">
        <v>21016</v>
      </c>
      <c r="D30" s="10">
        <v>20873</v>
      </c>
      <c r="E30" s="10">
        <v>20655</v>
      </c>
      <c r="F30" s="10">
        <v>20548</v>
      </c>
      <c r="G30" s="10">
        <v>21098</v>
      </c>
      <c r="H30" s="10">
        <v>21099</v>
      </c>
      <c r="I30" s="10">
        <v>23112</v>
      </c>
      <c r="J30" s="10">
        <v>24155</v>
      </c>
      <c r="K30" s="10">
        <v>23419</v>
      </c>
      <c r="L30" s="19">
        <v>23799</v>
      </c>
      <c r="M30" s="19">
        <v>22576</v>
      </c>
      <c r="N30" s="29">
        <v>5.4</v>
      </c>
      <c r="O30" s="29">
        <v>1.6</v>
      </c>
      <c r="P30" s="6" t="s">
        <v>2</v>
      </c>
    </row>
    <row r="31" spans="1:16" ht="24.95" customHeight="1" x14ac:dyDescent="0.2">
      <c r="A31" s="67" t="s">
        <v>342</v>
      </c>
      <c r="B31" s="9">
        <v>4389</v>
      </c>
      <c r="C31" s="9">
        <v>5734</v>
      </c>
      <c r="D31" s="9">
        <v>5628</v>
      </c>
      <c r="E31" s="9">
        <v>5829</v>
      </c>
      <c r="F31" s="9">
        <v>5559</v>
      </c>
      <c r="G31" s="9">
        <v>5411</v>
      </c>
      <c r="H31" s="9">
        <v>5403</v>
      </c>
      <c r="I31" s="9">
        <v>5668</v>
      </c>
      <c r="J31" s="9">
        <v>5714</v>
      </c>
      <c r="K31" s="9">
        <v>5687</v>
      </c>
      <c r="L31" s="18">
        <v>5751</v>
      </c>
      <c r="M31" s="18">
        <v>5577</v>
      </c>
      <c r="N31" s="28">
        <v>3.1</v>
      </c>
      <c r="O31" s="28">
        <v>1.1000000000000001</v>
      </c>
      <c r="P31" s="2" t="s">
        <v>2</v>
      </c>
    </row>
    <row r="32" spans="1:16" ht="24.95" customHeight="1" x14ac:dyDescent="0.2">
      <c r="A32" s="67" t="s">
        <v>343</v>
      </c>
      <c r="B32" s="9">
        <v>1961</v>
      </c>
      <c r="C32" s="9">
        <v>2515</v>
      </c>
      <c r="D32" s="9">
        <v>2587</v>
      </c>
      <c r="E32" s="9">
        <v>2751</v>
      </c>
      <c r="F32" s="9">
        <v>2679</v>
      </c>
      <c r="G32" s="9">
        <v>2592</v>
      </c>
      <c r="H32" s="9">
        <v>2590</v>
      </c>
      <c r="I32" s="9">
        <v>2639</v>
      </c>
      <c r="J32" s="9">
        <v>2615</v>
      </c>
      <c r="K32" s="9">
        <v>2455</v>
      </c>
      <c r="L32" s="18">
        <v>2412</v>
      </c>
      <c r="M32" s="18">
        <v>2578</v>
      </c>
      <c r="N32" s="28">
        <v>-6.4</v>
      </c>
      <c r="O32" s="28">
        <v>-1.8</v>
      </c>
      <c r="P32" s="2" t="s">
        <v>2</v>
      </c>
    </row>
    <row r="33" spans="1:16" ht="24.95" customHeight="1" x14ac:dyDescent="0.25">
      <c r="A33" s="12" t="s">
        <v>344</v>
      </c>
      <c r="B33" s="10">
        <v>6350</v>
      </c>
      <c r="C33" s="10">
        <v>8249</v>
      </c>
      <c r="D33" s="10">
        <v>8215</v>
      </c>
      <c r="E33" s="10">
        <v>8580</v>
      </c>
      <c r="F33" s="10">
        <v>8238</v>
      </c>
      <c r="G33" s="10">
        <v>8003</v>
      </c>
      <c r="H33" s="10">
        <v>7993</v>
      </c>
      <c r="I33" s="10">
        <v>8307</v>
      </c>
      <c r="J33" s="10">
        <v>8329</v>
      </c>
      <c r="K33" s="10">
        <v>8142</v>
      </c>
      <c r="L33" s="19">
        <v>8163</v>
      </c>
      <c r="M33" s="19">
        <v>8155</v>
      </c>
      <c r="N33" s="29">
        <v>0.1</v>
      </c>
      <c r="O33" s="29">
        <v>0.3</v>
      </c>
      <c r="P33" s="6" t="s">
        <v>2</v>
      </c>
    </row>
    <row r="34" spans="1:16" ht="24.95" customHeight="1" x14ac:dyDescent="0.25">
      <c r="A34" s="12" t="s">
        <v>345</v>
      </c>
      <c r="B34" s="10">
        <v>63473</v>
      </c>
      <c r="C34" s="10">
        <v>67000</v>
      </c>
      <c r="D34" s="10">
        <v>66509</v>
      </c>
      <c r="E34" s="10">
        <v>67066</v>
      </c>
      <c r="F34" s="10">
        <v>66674</v>
      </c>
      <c r="G34" s="10">
        <v>67409</v>
      </c>
      <c r="H34" s="10">
        <v>67349</v>
      </c>
      <c r="I34" s="10">
        <v>66753</v>
      </c>
      <c r="J34" s="10">
        <v>67391</v>
      </c>
      <c r="K34" s="10">
        <v>66773</v>
      </c>
      <c r="L34" s="19">
        <v>66116</v>
      </c>
      <c r="M34" s="19">
        <v>67135</v>
      </c>
      <c r="N34" s="29">
        <v>-1.5</v>
      </c>
      <c r="O34" s="29">
        <v>-1</v>
      </c>
      <c r="P34" s="6" t="s">
        <v>2</v>
      </c>
    </row>
    <row r="35" spans="1:16" ht="24.95" customHeight="1" x14ac:dyDescent="0.2">
      <c r="A35" s="67" t="s">
        <v>346</v>
      </c>
      <c r="B35" s="25" t="s">
        <v>173</v>
      </c>
      <c r="C35" s="25" t="s">
        <v>173</v>
      </c>
      <c r="D35" s="25" t="s">
        <v>173</v>
      </c>
      <c r="E35" s="25" t="s">
        <v>173</v>
      </c>
      <c r="F35" s="25" t="s">
        <v>173</v>
      </c>
      <c r="G35" s="25" t="s">
        <v>173</v>
      </c>
      <c r="H35" s="25" t="s">
        <v>173</v>
      </c>
      <c r="I35" s="9">
        <v>91904</v>
      </c>
      <c r="J35" s="9">
        <v>105477</v>
      </c>
      <c r="K35" s="9">
        <v>110115</v>
      </c>
      <c r="L35" s="18">
        <v>81529</v>
      </c>
      <c r="M35" s="18">
        <v>102499</v>
      </c>
      <c r="N35" s="28">
        <v>-20.5</v>
      </c>
      <c r="O35" s="28">
        <v>-26</v>
      </c>
      <c r="P35" s="2" t="s">
        <v>611</v>
      </c>
    </row>
    <row r="36" spans="1:16" ht="24.95" customHeight="1" x14ac:dyDescent="0.2">
      <c r="A36" s="67" t="s">
        <v>347</v>
      </c>
      <c r="B36" s="25" t="s">
        <v>173</v>
      </c>
      <c r="C36" s="25" t="s">
        <v>173</v>
      </c>
      <c r="D36" s="25" t="s">
        <v>173</v>
      </c>
      <c r="E36" s="25" t="s">
        <v>173</v>
      </c>
      <c r="F36" s="25" t="s">
        <v>173</v>
      </c>
      <c r="G36" s="25" t="s">
        <v>173</v>
      </c>
      <c r="H36" s="25" t="s">
        <v>173</v>
      </c>
      <c r="I36" s="9">
        <v>213656</v>
      </c>
      <c r="J36" s="9">
        <v>220464</v>
      </c>
      <c r="K36" s="9">
        <v>258095</v>
      </c>
      <c r="L36" s="18">
        <v>260179</v>
      </c>
      <c r="M36" s="18">
        <v>230738</v>
      </c>
      <c r="N36" s="28">
        <v>12.8</v>
      </c>
      <c r="O36" s="28">
        <v>0.8</v>
      </c>
      <c r="P36" s="38" t="s">
        <v>610</v>
      </c>
    </row>
    <row r="37" spans="1:16" s="66" customFormat="1" ht="24.95" customHeight="1" x14ac:dyDescent="0.25">
      <c r="A37" s="64" t="s">
        <v>348</v>
      </c>
      <c r="B37" s="10">
        <v>429741</v>
      </c>
      <c r="C37" s="10">
        <v>659138</v>
      </c>
      <c r="D37" s="10">
        <v>710381</v>
      </c>
      <c r="E37" s="10">
        <v>534327</v>
      </c>
      <c r="F37" s="10" t="s">
        <v>173</v>
      </c>
      <c r="G37" s="10">
        <v>394229</v>
      </c>
      <c r="H37" s="10">
        <v>394229</v>
      </c>
      <c r="I37" s="10">
        <v>305560</v>
      </c>
      <c r="J37" s="10">
        <v>325941</v>
      </c>
      <c r="K37" s="10">
        <v>368210</v>
      </c>
      <c r="L37" s="19">
        <v>341708</v>
      </c>
      <c r="M37" s="19">
        <v>357634</v>
      </c>
      <c r="N37" s="29">
        <v>-4.5</v>
      </c>
      <c r="O37" s="29">
        <v>-7.2</v>
      </c>
      <c r="P37" s="65" t="s">
        <v>610</v>
      </c>
    </row>
    <row r="39" spans="1:16" x14ac:dyDescent="0.2">
      <c r="J39" s="54"/>
      <c r="K39" s="55"/>
      <c r="L39" s="82"/>
    </row>
    <row r="40" spans="1:16" x14ac:dyDescent="0.2">
      <c r="J40" s="54"/>
      <c r="K40" s="55"/>
      <c r="L40" s="77"/>
      <c r="M40" s="55"/>
    </row>
    <row r="41" spans="1:16" x14ac:dyDescent="0.2">
      <c r="J41" s="54"/>
      <c r="K41" s="55"/>
      <c r="L41" s="55"/>
      <c r="M41" s="55"/>
    </row>
    <row r="42" spans="1:16" x14ac:dyDescent="0.2">
      <c r="I42" s="54"/>
      <c r="J42" s="54"/>
      <c r="K42" s="54"/>
      <c r="L42" s="54"/>
      <c r="M42" s="54"/>
      <c r="N42" s="54"/>
    </row>
    <row r="43" spans="1:16" x14ac:dyDescent="0.2">
      <c r="J43" s="54"/>
      <c r="N43" s="54"/>
    </row>
    <row r="44" spans="1:16" x14ac:dyDescent="0.2">
      <c r="N44" s="54"/>
    </row>
    <row r="45" spans="1:16" x14ac:dyDescent="0.2">
      <c r="M45" s="54"/>
    </row>
    <row r="46" spans="1:16" x14ac:dyDescent="0.2">
      <c r="M46" s="54"/>
    </row>
  </sheetData>
  <hyperlinks>
    <hyperlink ref="A5" r:id="rId1" xr:uid="{00000000-0004-0000-0A00-000000000000}"/>
  </hyperlinks>
  <pageMargins left="0.7" right="0.7" top="0.75" bottom="0.75" header="0.3" footer="0.3"/>
  <pageSetup paperSize="9" orientation="portrait" horizontalDpi="300" verticalDpi="30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0"/>
  <sheetViews>
    <sheetView showGridLines="0" zoomScaleNormal="100" workbookViewId="0"/>
  </sheetViews>
  <sheetFormatPr defaultColWidth="11.5546875" defaultRowHeight="15" x14ac:dyDescent="0.2"/>
  <cols>
    <col min="1" max="1" width="50.6640625" customWidth="1"/>
    <col min="2" max="100" width="15.6640625" customWidth="1"/>
  </cols>
  <sheetData>
    <row r="1" spans="1:4" ht="20.25" x14ac:dyDescent="0.3">
      <c r="A1" s="45" t="s">
        <v>594</v>
      </c>
    </row>
    <row r="2" spans="1:4" x14ac:dyDescent="0.2">
      <c r="A2" t="s">
        <v>37</v>
      </c>
    </row>
    <row r="3" spans="1:4" x14ac:dyDescent="0.2">
      <c r="A3" t="s">
        <v>139</v>
      </c>
    </row>
    <row r="4" spans="1:4" x14ac:dyDescent="0.2">
      <c r="A4" s="7" t="str">
        <f>HYPERLINK("#Notes!A1", "Link to Notes table")</f>
        <v>Link to Notes table</v>
      </c>
    </row>
    <row r="5" spans="1:4" ht="15.75" thickBot="1" x14ac:dyDescent="0.25">
      <c r="A5" s="7" t="s">
        <v>140</v>
      </c>
    </row>
    <row r="6" spans="1:4" ht="32.25" thickBot="1" x14ac:dyDescent="0.3">
      <c r="A6" s="14" t="s">
        <v>521</v>
      </c>
      <c r="B6" s="31" t="s">
        <v>522</v>
      </c>
    </row>
    <row r="7" spans="1:4" ht="24.95" customHeight="1" x14ac:dyDescent="0.2">
      <c r="A7" s="11" t="s">
        <v>523</v>
      </c>
      <c r="B7" s="9">
        <v>18036</v>
      </c>
      <c r="D7" s="55"/>
    </row>
    <row r="8" spans="1:4" ht="24.95" customHeight="1" x14ac:dyDescent="0.2">
      <c r="A8" s="11" t="s">
        <v>524</v>
      </c>
      <c r="B8" s="9">
        <v>26837</v>
      </c>
      <c r="D8" s="55"/>
    </row>
    <row r="9" spans="1:4" ht="24.95" customHeight="1" x14ac:dyDescent="0.2">
      <c r="A9" s="11" t="s">
        <v>525</v>
      </c>
      <c r="B9" s="9">
        <v>228</v>
      </c>
    </row>
    <row r="10" spans="1:4" ht="24.95" customHeight="1" thickBot="1" x14ac:dyDescent="0.3">
      <c r="A10" s="30" t="s">
        <v>376</v>
      </c>
      <c r="B10" s="10">
        <v>45101</v>
      </c>
    </row>
  </sheetData>
  <hyperlinks>
    <hyperlink ref="A5" r:id="rId1" xr:uid="{00000000-0004-0000-1B00-000000000000}"/>
  </hyperlinks>
  <pageMargins left="0.7" right="0.7" top="0.75" bottom="0.75" header="0.3" footer="0.3"/>
  <pageSetup paperSize="9" orientation="portrait" horizontalDpi="300" verticalDpi="30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showGridLines="0" zoomScaleNormal="100" workbookViewId="0"/>
  </sheetViews>
  <sheetFormatPr defaultColWidth="11.5546875" defaultRowHeight="15" x14ac:dyDescent="0.2"/>
  <cols>
    <col min="1" max="1" width="50.6640625" customWidth="1"/>
    <col min="2" max="100" width="15.6640625" customWidth="1"/>
  </cols>
  <sheetData>
    <row r="1" spans="1:5" ht="20.25" x14ac:dyDescent="0.3">
      <c r="A1" s="4" t="s">
        <v>607</v>
      </c>
    </row>
    <row r="2" spans="1:5" x14ac:dyDescent="0.2">
      <c r="A2" t="s">
        <v>37</v>
      </c>
    </row>
    <row r="3" spans="1:5" x14ac:dyDescent="0.2">
      <c r="A3" t="s">
        <v>139</v>
      </c>
    </row>
    <row r="4" spans="1:5" x14ac:dyDescent="0.2">
      <c r="A4" s="7" t="str">
        <f>HYPERLINK("#Notes!A1", "Link to Notes table")</f>
        <v>Link to Notes table</v>
      </c>
    </row>
    <row r="5" spans="1:5" ht="15.75" thickBot="1" x14ac:dyDescent="0.25">
      <c r="A5" s="7" t="s">
        <v>140</v>
      </c>
    </row>
    <row r="6" spans="1:5" ht="32.25" thickBot="1" x14ac:dyDescent="0.3">
      <c r="A6" s="14" t="s">
        <v>349</v>
      </c>
      <c r="B6" s="15" t="s">
        <v>350</v>
      </c>
      <c r="C6" s="15" t="s">
        <v>351</v>
      </c>
      <c r="D6" s="17" t="s">
        <v>352</v>
      </c>
      <c r="E6" s="31" t="s">
        <v>353</v>
      </c>
    </row>
    <row r="7" spans="1:5" ht="24.95" customHeight="1" x14ac:dyDescent="0.2">
      <c r="A7" s="67" t="s">
        <v>354</v>
      </c>
      <c r="B7" s="9">
        <v>1875</v>
      </c>
      <c r="C7" s="9">
        <v>7717</v>
      </c>
      <c r="D7" s="18">
        <v>39</v>
      </c>
      <c r="E7" s="9">
        <v>9631</v>
      </c>
    </row>
    <row r="8" spans="1:5" ht="24.95" customHeight="1" x14ac:dyDescent="0.2">
      <c r="A8" s="67" t="s">
        <v>355</v>
      </c>
      <c r="B8" s="9">
        <v>2013</v>
      </c>
      <c r="C8" s="9">
        <v>3239</v>
      </c>
      <c r="D8" s="18">
        <v>32</v>
      </c>
      <c r="E8" s="9">
        <v>5284</v>
      </c>
    </row>
    <row r="9" spans="1:5" ht="24.95" customHeight="1" x14ac:dyDescent="0.2">
      <c r="A9" s="67" t="s">
        <v>356</v>
      </c>
      <c r="B9" s="9">
        <v>6827</v>
      </c>
      <c r="C9" s="9">
        <v>9112</v>
      </c>
      <c r="D9" s="18">
        <v>55</v>
      </c>
      <c r="E9" s="9">
        <v>15994</v>
      </c>
    </row>
    <row r="10" spans="1:5" ht="24.95" customHeight="1" thickBot="1" x14ac:dyDescent="0.3">
      <c r="A10" s="30" t="s">
        <v>321</v>
      </c>
      <c r="B10" s="10">
        <v>10715</v>
      </c>
      <c r="C10" s="10">
        <v>20068</v>
      </c>
      <c r="D10" s="19">
        <v>126</v>
      </c>
      <c r="E10" s="10">
        <v>30909</v>
      </c>
    </row>
    <row r="13" spans="1:5" x14ac:dyDescent="0.2">
      <c r="B13" s="55"/>
      <c r="C13" s="55"/>
      <c r="D13" s="56"/>
      <c r="E13" s="55"/>
    </row>
  </sheetData>
  <hyperlinks>
    <hyperlink ref="A5" r:id="rId1" xr:uid="{00000000-0004-0000-0B00-000000000000}"/>
  </hyperlinks>
  <pageMargins left="0.7" right="0.7" top="0.75" bottom="0.75" header="0.3" footer="0.3"/>
  <pageSetup paperSize="9" orientation="portrait" horizontalDpi="300" verticalDpi="30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
  <sheetViews>
    <sheetView showGridLines="0" zoomScaleNormal="100" workbookViewId="0"/>
  </sheetViews>
  <sheetFormatPr defaultColWidth="11.5546875" defaultRowHeight="15" x14ac:dyDescent="0.2"/>
  <cols>
    <col min="1" max="1" width="50.6640625" customWidth="1"/>
    <col min="2" max="100" width="15.6640625" customWidth="1"/>
  </cols>
  <sheetData>
    <row r="1" spans="1:15" ht="20.25" x14ac:dyDescent="0.3">
      <c r="A1" s="4" t="s">
        <v>613</v>
      </c>
    </row>
    <row r="2" spans="1:15" x14ac:dyDescent="0.2">
      <c r="A2" t="s">
        <v>37</v>
      </c>
    </row>
    <row r="3" spans="1:15" x14ac:dyDescent="0.2">
      <c r="A3" t="s">
        <v>139</v>
      </c>
    </row>
    <row r="4" spans="1:15" x14ac:dyDescent="0.2">
      <c r="A4" s="7" t="str">
        <f>HYPERLINK("#Notes!A1", "Link to Notes table")</f>
        <v>Link to Notes table</v>
      </c>
    </row>
    <row r="5" spans="1:15" ht="15.75" thickBot="1" x14ac:dyDescent="0.25">
      <c r="A5" s="7" t="s">
        <v>140</v>
      </c>
    </row>
    <row r="6" spans="1:15" ht="32.25" thickBot="1" x14ac:dyDescent="0.3">
      <c r="A6" s="14" t="s">
        <v>349</v>
      </c>
      <c r="B6" s="15" t="s">
        <v>357</v>
      </c>
      <c r="C6" s="15" t="s">
        <v>358</v>
      </c>
      <c r="D6" s="15" t="s">
        <v>359</v>
      </c>
      <c r="E6" s="15" t="s">
        <v>360</v>
      </c>
      <c r="F6" s="15" t="s">
        <v>361</v>
      </c>
      <c r="G6" s="15" t="s">
        <v>362</v>
      </c>
      <c r="H6" s="15" t="s">
        <v>363</v>
      </c>
      <c r="I6" s="15" t="s">
        <v>364</v>
      </c>
      <c r="J6" s="15" t="s">
        <v>365</v>
      </c>
      <c r="K6" s="15" t="s">
        <v>366</v>
      </c>
      <c r="L6" s="15" t="s">
        <v>367</v>
      </c>
      <c r="M6" s="17" t="s">
        <v>368</v>
      </c>
      <c r="N6" s="20" t="s">
        <v>369</v>
      </c>
      <c r="O6" s="31" t="s">
        <v>370</v>
      </c>
    </row>
    <row r="7" spans="1:15" ht="24.95" customHeight="1" x14ac:dyDescent="0.2">
      <c r="A7" s="11" t="s">
        <v>354</v>
      </c>
      <c r="B7" s="9" t="s">
        <v>612</v>
      </c>
      <c r="C7" s="9">
        <v>25</v>
      </c>
      <c r="D7" s="9" t="s">
        <v>612</v>
      </c>
      <c r="E7" s="9">
        <v>252</v>
      </c>
      <c r="F7" s="9">
        <v>92</v>
      </c>
      <c r="G7" s="9">
        <v>512</v>
      </c>
      <c r="H7" s="9">
        <v>222</v>
      </c>
      <c r="I7" s="9">
        <v>821</v>
      </c>
      <c r="J7" s="9">
        <v>392</v>
      </c>
      <c r="K7" s="9">
        <v>1476</v>
      </c>
      <c r="L7" s="9">
        <v>370</v>
      </c>
      <c r="M7" s="18">
        <v>1966</v>
      </c>
      <c r="N7" s="21">
        <v>1136</v>
      </c>
      <c r="O7" s="9">
        <v>5052</v>
      </c>
    </row>
    <row r="8" spans="1:15" ht="24.95" customHeight="1" x14ac:dyDescent="0.2">
      <c r="A8" s="11" t="s">
        <v>355</v>
      </c>
      <c r="B8" s="9" t="s">
        <v>612</v>
      </c>
      <c r="C8" s="9">
        <v>12</v>
      </c>
      <c r="D8" s="9" t="s">
        <v>612</v>
      </c>
      <c r="E8" s="9">
        <v>94</v>
      </c>
      <c r="F8" s="9">
        <v>126</v>
      </c>
      <c r="G8" s="9">
        <v>201</v>
      </c>
      <c r="H8" s="9">
        <v>179</v>
      </c>
      <c r="I8" s="9">
        <v>263</v>
      </c>
      <c r="J8" s="9">
        <v>323</v>
      </c>
      <c r="K8" s="9">
        <v>391</v>
      </c>
      <c r="L8" s="9">
        <v>349</v>
      </c>
      <c r="M8" s="18">
        <v>718</v>
      </c>
      <c r="N8" s="21">
        <v>1020</v>
      </c>
      <c r="O8" s="9">
        <v>1679</v>
      </c>
    </row>
    <row r="9" spans="1:15" ht="24.95" customHeight="1" x14ac:dyDescent="0.2">
      <c r="A9" s="11" t="s">
        <v>356</v>
      </c>
      <c r="B9" s="9">
        <v>17</v>
      </c>
      <c r="C9" s="9">
        <v>33</v>
      </c>
      <c r="D9" s="9">
        <v>117</v>
      </c>
      <c r="E9" s="9">
        <v>175</v>
      </c>
      <c r="F9" s="9">
        <v>306</v>
      </c>
      <c r="G9" s="9">
        <v>401</v>
      </c>
      <c r="H9" s="9">
        <v>513</v>
      </c>
      <c r="I9" s="9">
        <v>563</v>
      </c>
      <c r="J9" s="9">
        <v>884</v>
      </c>
      <c r="K9" s="9">
        <v>965</v>
      </c>
      <c r="L9" s="9">
        <v>1063</v>
      </c>
      <c r="M9" s="18">
        <v>1490</v>
      </c>
      <c r="N9" s="21">
        <v>2900</v>
      </c>
      <c r="O9" s="9">
        <v>3627</v>
      </c>
    </row>
    <row r="10" spans="1:15" ht="24.95" customHeight="1" thickBot="1" x14ac:dyDescent="0.3">
      <c r="A10" s="30" t="s">
        <v>321</v>
      </c>
      <c r="B10" s="10">
        <v>26</v>
      </c>
      <c r="C10" s="10">
        <v>70</v>
      </c>
      <c r="D10" s="10">
        <v>211</v>
      </c>
      <c r="E10" s="10">
        <v>521</v>
      </c>
      <c r="F10" s="10">
        <v>524</v>
      </c>
      <c r="G10" s="10">
        <v>1114</v>
      </c>
      <c r="H10" s="10">
        <v>914</v>
      </c>
      <c r="I10" s="10">
        <v>1647</v>
      </c>
      <c r="J10" s="10">
        <v>1599</v>
      </c>
      <c r="K10" s="10">
        <v>2832</v>
      </c>
      <c r="L10" s="10">
        <v>1782</v>
      </c>
      <c r="M10" s="19">
        <v>4174</v>
      </c>
      <c r="N10" s="22">
        <v>5056</v>
      </c>
      <c r="O10" s="10">
        <v>10358</v>
      </c>
    </row>
  </sheetData>
  <hyperlinks>
    <hyperlink ref="A5" r:id="rId1" xr:uid="{00000000-0004-0000-0C00-000000000000}"/>
  </hyperlinks>
  <pageMargins left="0.7" right="0.7" top="0.75" bottom="0.75" header="0.3" footer="0.3"/>
  <pageSetup paperSize="9" orientation="portrait" horizontalDpi="300" verticalDpi="30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
  <sheetViews>
    <sheetView showGridLines="0" tabSelected="1" zoomScale="90" zoomScaleNormal="90" workbookViewId="0">
      <selection activeCell="F18" sqref="F18"/>
    </sheetView>
  </sheetViews>
  <sheetFormatPr defaultColWidth="11.5546875" defaultRowHeight="15" x14ac:dyDescent="0.2"/>
  <cols>
    <col min="1" max="1" width="50.6640625" customWidth="1"/>
    <col min="2" max="3" width="15.6640625" style="8" customWidth="1"/>
    <col min="4" max="96" width="15.6640625" customWidth="1"/>
  </cols>
  <sheetData>
    <row r="1" spans="1:3" ht="20.25" x14ac:dyDescent="0.3">
      <c r="A1" s="4" t="s">
        <v>633</v>
      </c>
    </row>
    <row r="2" spans="1:3" x14ac:dyDescent="0.2">
      <c r="A2" t="s">
        <v>37</v>
      </c>
    </row>
    <row r="3" spans="1:3" x14ac:dyDescent="0.2">
      <c r="A3" t="s">
        <v>139</v>
      </c>
    </row>
    <row r="4" spans="1:3" x14ac:dyDescent="0.2">
      <c r="A4" s="7" t="str">
        <f>HYPERLINK("#Notes!A1", "Link to Notes table")</f>
        <v>Link to Notes table</v>
      </c>
    </row>
    <row r="5" spans="1:3" ht="15.75" thickBot="1" x14ac:dyDescent="0.25">
      <c r="A5" s="7" t="s">
        <v>140</v>
      </c>
    </row>
    <row r="6" spans="1:3" ht="32.450000000000003" customHeight="1" thickBot="1" x14ac:dyDescent="0.3">
      <c r="A6" s="92" t="s">
        <v>635</v>
      </c>
      <c r="B6" s="93" t="s">
        <v>371</v>
      </c>
      <c r="C6" s="94" t="s">
        <v>637</v>
      </c>
    </row>
    <row r="7" spans="1:3" ht="23.1" customHeight="1" x14ac:dyDescent="0.2">
      <c r="A7" s="90" t="s">
        <v>372</v>
      </c>
      <c r="B7" s="83">
        <v>23305</v>
      </c>
      <c r="C7" s="95">
        <v>1583040.4461297251</v>
      </c>
    </row>
    <row r="8" spans="1:3" ht="23.1" customHeight="1" x14ac:dyDescent="0.2">
      <c r="A8" s="90" t="s">
        <v>373</v>
      </c>
      <c r="B8" s="83">
        <v>12028</v>
      </c>
      <c r="C8" s="95">
        <v>1033254.512562</v>
      </c>
    </row>
    <row r="9" spans="1:3" ht="23.1" customHeight="1" x14ac:dyDescent="0.2">
      <c r="A9" s="90" t="s">
        <v>374</v>
      </c>
      <c r="B9" s="81">
        <v>11203</v>
      </c>
      <c r="C9" s="95">
        <v>1528303.6024988999</v>
      </c>
    </row>
    <row r="10" spans="1:3" ht="23.1" customHeight="1" x14ac:dyDescent="0.2">
      <c r="A10" s="90" t="s">
        <v>636</v>
      </c>
      <c r="B10" s="81">
        <v>256</v>
      </c>
      <c r="C10" s="95">
        <v>90206.723903999999</v>
      </c>
    </row>
    <row r="11" spans="1:3" ht="23.1" customHeight="1" x14ac:dyDescent="0.2">
      <c r="A11" s="90" t="s">
        <v>375</v>
      </c>
      <c r="B11" s="81">
        <v>866</v>
      </c>
      <c r="C11" s="95">
        <v>823108.48367850005</v>
      </c>
    </row>
    <row r="12" spans="1:3" ht="23.1" customHeight="1" thickBot="1" x14ac:dyDescent="0.3">
      <c r="A12" s="91" t="s">
        <v>376</v>
      </c>
      <c r="B12" s="84">
        <v>47658</v>
      </c>
      <c r="C12" s="96">
        <v>5025844.9000198999</v>
      </c>
    </row>
    <row r="14" spans="1:3" x14ac:dyDescent="0.2">
      <c r="B14" s="81"/>
    </row>
    <row r="15" spans="1:3" x14ac:dyDescent="0.2">
      <c r="B15" s="81"/>
    </row>
  </sheetData>
  <hyperlinks>
    <hyperlink ref="A5" r:id="rId1" xr:uid="{00000000-0004-0000-0D00-000000000000}"/>
  </hyperlink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2"/>
  <sheetViews>
    <sheetView showGridLines="0" zoomScaleNormal="100" workbookViewId="0"/>
  </sheetViews>
  <sheetFormatPr defaultColWidth="11.5546875" defaultRowHeight="15" x14ac:dyDescent="0.2"/>
  <cols>
    <col min="1" max="1" width="50.6640625" customWidth="1"/>
    <col min="2" max="100" width="15.6640625" customWidth="1"/>
  </cols>
  <sheetData>
    <row r="1" spans="1:15" ht="20.25" x14ac:dyDescent="0.3">
      <c r="A1" s="4" t="s">
        <v>595</v>
      </c>
    </row>
    <row r="2" spans="1:15" x14ac:dyDescent="0.2">
      <c r="A2" t="s">
        <v>37</v>
      </c>
    </row>
    <row r="3" spans="1:15" x14ac:dyDescent="0.2">
      <c r="A3" t="s">
        <v>139</v>
      </c>
    </row>
    <row r="4" spans="1:15" x14ac:dyDescent="0.2">
      <c r="A4" s="7" t="str">
        <f>HYPERLINK("#Notes!A1", "Link to Notes table")</f>
        <v>Link to Notes table</v>
      </c>
    </row>
    <row r="5" spans="1:15" ht="15.75" thickBot="1" x14ac:dyDescent="0.25">
      <c r="A5" s="7" t="s">
        <v>140</v>
      </c>
    </row>
    <row r="6" spans="1:15" ht="48" thickBot="1" x14ac:dyDescent="0.3">
      <c r="A6" s="14" t="s">
        <v>377</v>
      </c>
      <c r="B6" s="15" t="s">
        <v>378</v>
      </c>
      <c r="C6" s="15" t="s">
        <v>379</v>
      </c>
      <c r="D6" s="15" t="s">
        <v>380</v>
      </c>
      <c r="E6" s="15" t="s">
        <v>381</v>
      </c>
      <c r="F6" s="15" t="s">
        <v>382</v>
      </c>
      <c r="G6" s="15" t="s">
        <v>383</v>
      </c>
      <c r="H6" s="15" t="s">
        <v>384</v>
      </c>
      <c r="I6" s="15" t="s">
        <v>385</v>
      </c>
      <c r="J6" s="15" t="s">
        <v>386</v>
      </c>
      <c r="K6" s="15" t="s">
        <v>387</v>
      </c>
      <c r="L6" s="17" t="s">
        <v>388</v>
      </c>
      <c r="M6" s="17" t="s">
        <v>389</v>
      </c>
      <c r="N6" s="17" t="s">
        <v>154</v>
      </c>
      <c r="O6" s="31" t="s">
        <v>155</v>
      </c>
    </row>
    <row r="7" spans="1:15" ht="24.95" customHeight="1" x14ac:dyDescent="0.2">
      <c r="A7" s="11" t="s">
        <v>390</v>
      </c>
      <c r="B7" s="9">
        <v>1319545</v>
      </c>
      <c r="C7" s="9">
        <v>1335046</v>
      </c>
      <c r="D7" s="9">
        <v>1282029</v>
      </c>
      <c r="E7" s="9">
        <v>1283912</v>
      </c>
      <c r="F7" s="9">
        <v>1285804</v>
      </c>
      <c r="G7" s="9">
        <v>1266447</v>
      </c>
      <c r="H7" s="9">
        <v>1242925</v>
      </c>
      <c r="I7" s="9">
        <v>1183594</v>
      </c>
      <c r="J7" s="9">
        <v>1289234</v>
      </c>
      <c r="K7" s="9">
        <v>1203059</v>
      </c>
      <c r="L7" s="18">
        <v>1156146.46</v>
      </c>
      <c r="M7" s="18">
        <v>1237051.8</v>
      </c>
      <c r="N7" s="28">
        <v>-6.5</v>
      </c>
      <c r="O7" s="32">
        <v>-3.9</v>
      </c>
    </row>
    <row r="8" spans="1:15" ht="24.95" customHeight="1" x14ac:dyDescent="0.2">
      <c r="A8" s="11" t="s">
        <v>391</v>
      </c>
      <c r="B8" s="9">
        <v>4429108</v>
      </c>
      <c r="C8" s="9">
        <v>4423354</v>
      </c>
      <c r="D8" s="9">
        <v>4512212</v>
      </c>
      <c r="E8" s="9">
        <v>4492740</v>
      </c>
      <c r="F8" s="9">
        <v>4457461</v>
      </c>
      <c r="G8" s="9">
        <v>4447582</v>
      </c>
      <c r="H8" s="9">
        <v>4423019</v>
      </c>
      <c r="I8" s="9">
        <v>4438557</v>
      </c>
      <c r="J8" s="9">
        <v>4560478</v>
      </c>
      <c r="K8" s="9">
        <v>4437794</v>
      </c>
      <c r="L8" s="18">
        <v>4525806.05</v>
      </c>
      <c r="M8" s="18">
        <v>4461486</v>
      </c>
      <c r="N8" s="28">
        <v>1.4</v>
      </c>
      <c r="O8" s="32">
        <v>2</v>
      </c>
    </row>
    <row r="9" spans="1:15" ht="24.95" customHeight="1" x14ac:dyDescent="0.25">
      <c r="A9" s="12" t="s">
        <v>392</v>
      </c>
      <c r="B9" s="10">
        <v>5748653</v>
      </c>
      <c r="C9" s="10">
        <v>5758399</v>
      </c>
      <c r="D9" s="10">
        <v>5794241</v>
      </c>
      <c r="E9" s="10">
        <v>5776652</v>
      </c>
      <c r="F9" s="10">
        <v>5743265</v>
      </c>
      <c r="G9" s="10">
        <v>5714030</v>
      </c>
      <c r="H9" s="10">
        <v>5665944</v>
      </c>
      <c r="I9" s="10">
        <v>5622151</v>
      </c>
      <c r="J9" s="10">
        <v>5849712</v>
      </c>
      <c r="K9" s="10">
        <v>5640853</v>
      </c>
      <c r="L9" s="19">
        <v>5681952.5099999998</v>
      </c>
      <c r="M9" s="19">
        <v>5698538</v>
      </c>
      <c r="N9" s="29">
        <v>-0.3</v>
      </c>
      <c r="O9" s="33">
        <v>0.7</v>
      </c>
    </row>
    <row r="10" spans="1:15" ht="24.95" customHeight="1" thickBot="1" x14ac:dyDescent="0.3">
      <c r="A10" s="30" t="s">
        <v>393</v>
      </c>
      <c r="B10" s="35">
        <v>22.953985916352927</v>
      </c>
      <c r="C10" s="33">
        <v>23.184326060073296</v>
      </c>
      <c r="D10" s="33">
        <v>22.125917786298501</v>
      </c>
      <c r="E10" s="33">
        <v>22.225884474259487</v>
      </c>
      <c r="F10" s="33">
        <v>22.388031894749762</v>
      </c>
      <c r="G10" s="33">
        <v>22.163814330691299</v>
      </c>
      <c r="H10" s="33">
        <v>21.936768171376208</v>
      </c>
      <c r="I10" s="33">
        <v>21.052333884308695</v>
      </c>
      <c r="J10" s="33">
        <v>22.039273044553305</v>
      </c>
      <c r="K10" s="33">
        <v>21.327607721739959</v>
      </c>
      <c r="L10" s="29">
        <v>20.347696640639469</v>
      </c>
      <c r="M10" s="29">
        <v>21.7</v>
      </c>
      <c r="N10" s="29" t="s">
        <v>173</v>
      </c>
      <c r="O10" s="33" t="s">
        <v>173</v>
      </c>
    </row>
    <row r="12" spans="1:15" x14ac:dyDescent="0.2">
      <c r="L12" s="54"/>
    </row>
  </sheetData>
  <hyperlinks>
    <hyperlink ref="A5" r:id="rId1" xr:uid="{00000000-0004-0000-0E00-000000000000}"/>
  </hyperlinks>
  <pageMargins left="0.7" right="0.7" top="0.75" bottom="0.75" header="0.3" footer="0.3"/>
  <pageSetup paperSize="9" orientation="portrait" horizontalDpi="300" verticalDpi="30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8"/>
  <sheetViews>
    <sheetView showGridLines="0" zoomScaleNormal="100" workbookViewId="0"/>
  </sheetViews>
  <sheetFormatPr defaultColWidth="11.5546875" defaultRowHeight="15" x14ac:dyDescent="0.2"/>
  <cols>
    <col min="1" max="1" width="50.6640625" customWidth="1"/>
    <col min="2" max="98" width="15.6640625" customWidth="1"/>
  </cols>
  <sheetData>
    <row r="1" spans="1:5" ht="20.25" x14ac:dyDescent="0.3">
      <c r="A1" s="4" t="s">
        <v>596</v>
      </c>
    </row>
    <row r="2" spans="1:5" x14ac:dyDescent="0.2">
      <c r="A2" t="s">
        <v>37</v>
      </c>
    </row>
    <row r="3" spans="1:5" x14ac:dyDescent="0.2">
      <c r="A3" t="s">
        <v>139</v>
      </c>
    </row>
    <row r="4" spans="1:5" x14ac:dyDescent="0.2">
      <c r="A4" s="7" t="str">
        <f>HYPERLINK("#Notes!A1", "Link to Notes table")</f>
        <v>Link to Notes table</v>
      </c>
    </row>
    <row r="5" spans="1:5" ht="15.75" thickBot="1" x14ac:dyDescent="0.25">
      <c r="A5" s="7" t="s">
        <v>140</v>
      </c>
    </row>
    <row r="6" spans="1:5" ht="48" thickBot="1" x14ac:dyDescent="0.3">
      <c r="A6" s="14" t="s">
        <v>394</v>
      </c>
      <c r="B6" s="15" t="s">
        <v>371</v>
      </c>
      <c r="C6" s="15" t="s">
        <v>395</v>
      </c>
      <c r="D6" s="15" t="s">
        <v>396</v>
      </c>
      <c r="E6" s="17" t="s">
        <v>397</v>
      </c>
    </row>
    <row r="7" spans="1:5" ht="24.95" customHeight="1" x14ac:dyDescent="0.2">
      <c r="A7" s="11" t="s">
        <v>398</v>
      </c>
      <c r="B7" s="9">
        <v>1832</v>
      </c>
      <c r="C7" s="9">
        <v>278389.37607925001</v>
      </c>
      <c r="D7" s="9">
        <v>380691122.95587498</v>
      </c>
      <c r="E7" s="18">
        <v>207800.83130779199</v>
      </c>
    </row>
    <row r="8" spans="1:5" ht="24.95" customHeight="1" x14ac:dyDescent="0.2">
      <c r="A8" s="11" t="s">
        <v>399</v>
      </c>
      <c r="B8" s="9">
        <v>16247</v>
      </c>
      <c r="C8" s="9">
        <v>1031762.4380085</v>
      </c>
      <c r="D8" s="9">
        <v>64361379.6814619</v>
      </c>
      <c r="E8" s="18">
        <v>3961.4316293138399</v>
      </c>
    </row>
    <row r="9" spans="1:5" ht="24.95" customHeight="1" x14ac:dyDescent="0.2">
      <c r="A9" s="67" t="s">
        <v>400</v>
      </c>
      <c r="B9" s="9">
        <v>16244</v>
      </c>
      <c r="C9" s="9">
        <v>3078532.9814242502</v>
      </c>
      <c r="D9" s="9">
        <v>678029382.19973898</v>
      </c>
      <c r="E9" s="18">
        <v>41740.296860363203</v>
      </c>
    </row>
    <row r="10" spans="1:5" ht="24.95" customHeight="1" x14ac:dyDescent="0.2">
      <c r="A10" s="11" t="s">
        <v>401</v>
      </c>
      <c r="B10" s="9">
        <v>4598</v>
      </c>
      <c r="C10" s="9">
        <v>264449.39563507499</v>
      </c>
      <c r="D10" s="9">
        <v>307700039.54039699</v>
      </c>
      <c r="E10" s="18">
        <v>66920.408773466203</v>
      </c>
    </row>
    <row r="11" spans="1:5" ht="24.95" customHeight="1" x14ac:dyDescent="0.2">
      <c r="A11" s="67" t="s">
        <v>402</v>
      </c>
      <c r="B11" s="9">
        <v>3124</v>
      </c>
      <c r="C11" s="9">
        <v>114011.44121624999</v>
      </c>
      <c r="D11" s="9">
        <v>132862519.92564701</v>
      </c>
      <c r="E11" s="18">
        <v>42529.615853280098</v>
      </c>
    </row>
    <row r="12" spans="1:5" ht="24.95" customHeight="1" x14ac:dyDescent="0.2">
      <c r="A12" s="11" t="s">
        <v>403</v>
      </c>
      <c r="B12" s="9">
        <v>2246</v>
      </c>
      <c r="C12" s="9">
        <v>227263.48136375</v>
      </c>
      <c r="D12" s="9">
        <v>194923931.63489401</v>
      </c>
      <c r="E12" s="18">
        <v>86787.146765313402</v>
      </c>
    </row>
    <row r="13" spans="1:5" ht="24.95" customHeight="1" x14ac:dyDescent="0.2">
      <c r="A13" s="11" t="s">
        <v>404</v>
      </c>
      <c r="B13" s="9">
        <v>580</v>
      </c>
      <c r="C13" s="9">
        <v>109808.244875</v>
      </c>
      <c r="D13" s="9">
        <v>340870603.97615099</v>
      </c>
      <c r="E13" s="18">
        <v>587707.93788991601</v>
      </c>
    </row>
    <row r="14" spans="1:5" ht="24.95" customHeight="1" x14ac:dyDescent="0.2">
      <c r="A14" s="67" t="s">
        <v>405</v>
      </c>
      <c r="B14" s="9">
        <v>660</v>
      </c>
      <c r="C14" s="9">
        <v>16136.677530912501</v>
      </c>
      <c r="D14" s="9">
        <v>209575778.19908199</v>
      </c>
      <c r="E14" s="18">
        <v>317539.05787739798</v>
      </c>
    </row>
    <row r="15" spans="1:5" ht="24.95" customHeight="1" x14ac:dyDescent="0.2">
      <c r="A15" s="11" t="s">
        <v>406</v>
      </c>
      <c r="B15" s="9">
        <v>420</v>
      </c>
      <c r="C15" s="9">
        <v>8052.5855684999997</v>
      </c>
      <c r="D15" s="9">
        <v>40044689.496416301</v>
      </c>
      <c r="E15" s="18">
        <v>95344.498800991103</v>
      </c>
    </row>
    <row r="16" spans="1:5" ht="24.95" customHeight="1" x14ac:dyDescent="0.2">
      <c r="A16" s="11" t="s">
        <v>407</v>
      </c>
      <c r="B16" s="9">
        <v>820</v>
      </c>
      <c r="C16" s="9">
        <v>12193.219590500001</v>
      </c>
      <c r="D16" s="9">
        <v>175519858.331837</v>
      </c>
      <c r="E16" s="18">
        <v>214048.60772175199</v>
      </c>
    </row>
    <row r="17" spans="1:5" ht="24.95" customHeight="1" x14ac:dyDescent="0.2">
      <c r="A17" s="11" t="s">
        <v>408</v>
      </c>
      <c r="B17" s="9">
        <v>887</v>
      </c>
      <c r="C17" s="9">
        <v>21960.6269125</v>
      </c>
      <c r="D17" s="9">
        <v>0</v>
      </c>
      <c r="E17" s="18">
        <v>0</v>
      </c>
    </row>
    <row r="18" spans="1:5" ht="24.95" customHeight="1" thickBot="1" x14ac:dyDescent="0.3">
      <c r="A18" s="30" t="s">
        <v>409</v>
      </c>
      <c r="B18" s="10">
        <v>47658</v>
      </c>
      <c r="C18" s="10">
        <v>5162560.4682044899</v>
      </c>
      <c r="D18" s="10">
        <v>2524579305.9415002</v>
      </c>
      <c r="E18" s="19">
        <v>52972.833646848398</v>
      </c>
    </row>
  </sheetData>
  <hyperlinks>
    <hyperlink ref="A5" r:id="rId1" xr:uid="{00000000-0004-0000-0F00-000000000000}"/>
  </hyperlinks>
  <pageMargins left="0.7" right="0.7" top="0.75" bottom="0.75" header="0.3" footer="0.3"/>
  <pageSetup paperSize="9" orientation="portrait" horizontalDpi="300" verticalDpi="30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6"/>
  <sheetViews>
    <sheetView showGridLines="0" zoomScaleNormal="100" workbookViewId="0"/>
  </sheetViews>
  <sheetFormatPr defaultColWidth="11.5546875" defaultRowHeight="15" x14ac:dyDescent="0.2"/>
  <cols>
    <col min="1" max="1" width="50.6640625" customWidth="1"/>
    <col min="2" max="4" width="15.6640625" customWidth="1"/>
    <col min="5" max="5" width="50.5546875" customWidth="1"/>
    <col min="6" max="100" width="15.6640625" customWidth="1"/>
  </cols>
  <sheetData>
    <row r="1" spans="1:5" ht="20.25" x14ac:dyDescent="0.3">
      <c r="A1" s="4" t="s">
        <v>597</v>
      </c>
    </row>
    <row r="2" spans="1:5" x14ac:dyDescent="0.2">
      <c r="A2" t="s">
        <v>37</v>
      </c>
    </row>
    <row r="3" spans="1:5" x14ac:dyDescent="0.2">
      <c r="A3" t="s">
        <v>139</v>
      </c>
    </row>
    <row r="4" spans="1:5" x14ac:dyDescent="0.2">
      <c r="A4" s="7" t="str">
        <f>HYPERLINK("#Notes!A1", "Link to Notes table")</f>
        <v>Link to Notes table</v>
      </c>
    </row>
    <row r="5" spans="1:5" ht="15.75" thickBot="1" x14ac:dyDescent="0.25">
      <c r="A5" s="7" t="s">
        <v>140</v>
      </c>
    </row>
    <row r="6" spans="1:5" ht="32.25" thickBot="1" x14ac:dyDescent="0.3">
      <c r="A6" s="14" t="s">
        <v>410</v>
      </c>
      <c r="B6" s="15" t="s">
        <v>411</v>
      </c>
      <c r="C6" s="17" t="s">
        <v>412</v>
      </c>
      <c r="D6" s="17" t="s">
        <v>413</v>
      </c>
      <c r="E6" s="16" t="s">
        <v>156</v>
      </c>
    </row>
    <row r="7" spans="1:5" ht="24.95" customHeight="1" x14ac:dyDescent="0.2">
      <c r="A7" s="11" t="s">
        <v>157</v>
      </c>
      <c r="B7" s="9">
        <v>11208.150877260399</v>
      </c>
      <c r="C7" s="18">
        <v>103311.103720578</v>
      </c>
      <c r="D7" s="18">
        <v>114519.25459783799</v>
      </c>
      <c r="E7" s="2" t="s">
        <v>2</v>
      </c>
    </row>
    <row r="8" spans="1:5" ht="24.95" customHeight="1" x14ac:dyDescent="0.2">
      <c r="A8" s="11" t="s">
        <v>158</v>
      </c>
      <c r="B8" s="9">
        <v>84.007123402263304</v>
      </c>
      <c r="C8" s="18">
        <v>185.36411358076899</v>
      </c>
      <c r="D8" s="18">
        <v>269.37123698303202</v>
      </c>
      <c r="E8" s="2" t="s">
        <v>2</v>
      </c>
    </row>
    <row r="9" spans="1:5" ht="24.95" customHeight="1" x14ac:dyDescent="0.2">
      <c r="A9" s="11" t="s">
        <v>159</v>
      </c>
      <c r="B9" s="9">
        <v>8926.8394445617796</v>
      </c>
      <c r="C9" s="18">
        <v>36038.323155613201</v>
      </c>
      <c r="D9" s="18">
        <v>44965.162600174997</v>
      </c>
      <c r="E9" s="2" t="s">
        <v>2</v>
      </c>
    </row>
    <row r="10" spans="1:5" ht="24.95" customHeight="1" x14ac:dyDescent="0.2">
      <c r="A10" s="11" t="s">
        <v>160</v>
      </c>
      <c r="B10" s="9">
        <v>55525.065149562703</v>
      </c>
      <c r="C10" s="18">
        <v>151433.75384648901</v>
      </c>
      <c r="D10" s="18">
        <v>206958.818996052</v>
      </c>
      <c r="E10" s="2" t="s">
        <v>2</v>
      </c>
    </row>
    <row r="11" spans="1:5" ht="24.95" customHeight="1" x14ac:dyDescent="0.25">
      <c r="A11" s="12" t="s">
        <v>414</v>
      </c>
      <c r="B11" s="10">
        <v>64451.904594124499</v>
      </c>
      <c r="C11" s="19">
        <v>187472.07700210201</v>
      </c>
      <c r="D11" s="19">
        <v>251923.98159622701</v>
      </c>
      <c r="E11" s="6" t="s">
        <v>2</v>
      </c>
    </row>
    <row r="12" spans="1:5" ht="24.95" customHeight="1" x14ac:dyDescent="0.2">
      <c r="A12" s="11" t="s">
        <v>415</v>
      </c>
      <c r="B12" s="9">
        <v>7605.4363099849197</v>
      </c>
      <c r="C12" s="18">
        <v>22765.8659430197</v>
      </c>
      <c r="D12" s="18">
        <v>30371.3022530046</v>
      </c>
      <c r="E12" s="2" t="s">
        <v>2</v>
      </c>
    </row>
    <row r="13" spans="1:5" ht="24.95" customHeight="1" x14ac:dyDescent="0.2">
      <c r="A13" s="11" t="s">
        <v>165</v>
      </c>
      <c r="B13" s="9">
        <v>1600.0033736033399</v>
      </c>
      <c r="C13" s="18">
        <v>6584.2922588792599</v>
      </c>
      <c r="D13" s="18">
        <v>8184.2956324826</v>
      </c>
      <c r="E13" s="2" t="s">
        <v>2</v>
      </c>
    </row>
    <row r="14" spans="1:5" ht="24.95" customHeight="1" x14ac:dyDescent="0.2">
      <c r="A14" s="11" t="s">
        <v>416</v>
      </c>
      <c r="B14" s="9">
        <v>4127.14294428635</v>
      </c>
      <c r="C14" s="18">
        <v>38269.347517908704</v>
      </c>
      <c r="D14" s="18">
        <v>42396.490462195099</v>
      </c>
      <c r="E14" s="2" t="s">
        <v>2</v>
      </c>
    </row>
    <row r="15" spans="1:5" ht="24.95" customHeight="1" x14ac:dyDescent="0.2">
      <c r="A15" s="11" t="s">
        <v>417</v>
      </c>
      <c r="B15" s="9">
        <v>2429.6851528347302</v>
      </c>
      <c r="C15" s="18">
        <v>26565.842897303599</v>
      </c>
      <c r="D15" s="18">
        <v>28995.5280501384</v>
      </c>
      <c r="E15" s="2" t="s">
        <v>2</v>
      </c>
    </row>
    <row r="16" spans="1:5" ht="24.95" customHeight="1" x14ac:dyDescent="0.2">
      <c r="A16" s="11" t="s">
        <v>176</v>
      </c>
      <c r="B16" s="9">
        <v>347.96125683257202</v>
      </c>
      <c r="C16" s="18">
        <v>2922.82900965114</v>
      </c>
      <c r="D16" s="18">
        <v>3270.7902664837102</v>
      </c>
      <c r="E16" s="2" t="s">
        <v>2</v>
      </c>
    </row>
    <row r="17" spans="1:5" ht="24.95" customHeight="1" x14ac:dyDescent="0.2">
      <c r="A17" s="11" t="s">
        <v>175</v>
      </c>
      <c r="B17" s="9">
        <v>94.157044714489501</v>
      </c>
      <c r="C17" s="18">
        <v>411.913246205993</v>
      </c>
      <c r="D17" s="18">
        <v>506.07029092048299</v>
      </c>
      <c r="E17" s="2" t="s">
        <v>2</v>
      </c>
    </row>
    <row r="18" spans="1:5" ht="24.95" customHeight="1" x14ac:dyDescent="0.2">
      <c r="A18" s="11" t="s">
        <v>418</v>
      </c>
      <c r="B18" s="9">
        <v>2260.51125554691</v>
      </c>
      <c r="C18" s="18">
        <v>2201.9239788874902</v>
      </c>
      <c r="D18" s="18">
        <v>4462.4352344343997</v>
      </c>
      <c r="E18" s="2" t="s">
        <v>2</v>
      </c>
    </row>
    <row r="19" spans="1:5" ht="24.95" customHeight="1" x14ac:dyDescent="0.2">
      <c r="A19" s="11" t="s">
        <v>188</v>
      </c>
      <c r="B19" s="9">
        <v>8645.2935326319803</v>
      </c>
      <c r="C19" s="18">
        <v>4500.5960673077798</v>
      </c>
      <c r="D19" s="18">
        <v>13145.889599939799</v>
      </c>
      <c r="E19" s="2" t="s">
        <v>419</v>
      </c>
    </row>
    <row r="20" spans="1:5" ht="24.95" customHeight="1" x14ac:dyDescent="0.2">
      <c r="A20" s="11" t="s">
        <v>420</v>
      </c>
      <c r="B20" s="9">
        <v>152.569910873711</v>
      </c>
      <c r="C20" s="18">
        <v>1869.88288255265</v>
      </c>
      <c r="D20" s="18">
        <v>2022.4527934263599</v>
      </c>
      <c r="E20" s="2" t="s">
        <v>2</v>
      </c>
    </row>
    <row r="21" spans="1:5" ht="24.95" customHeight="1" x14ac:dyDescent="0.2">
      <c r="A21" s="11" t="s">
        <v>190</v>
      </c>
      <c r="B21" s="9">
        <v>1554.9906591465799</v>
      </c>
      <c r="C21" s="18">
        <v>22745.121044518299</v>
      </c>
      <c r="D21" s="18">
        <v>24300.111703664901</v>
      </c>
      <c r="E21" s="2" t="s">
        <v>2</v>
      </c>
    </row>
    <row r="22" spans="1:5" ht="24.95" customHeight="1" x14ac:dyDescent="0.2">
      <c r="A22" s="11" t="s">
        <v>421</v>
      </c>
      <c r="B22" s="9">
        <v>366.99694748958302</v>
      </c>
      <c r="C22" s="18">
        <v>975.81348195055398</v>
      </c>
      <c r="D22" s="18">
        <v>1342.8104294401401</v>
      </c>
      <c r="E22" s="2" t="s">
        <v>2</v>
      </c>
    </row>
    <row r="23" spans="1:5" ht="24.95" customHeight="1" x14ac:dyDescent="0.2">
      <c r="A23" s="11" t="s">
        <v>193</v>
      </c>
      <c r="B23" s="9">
        <v>4100.8987509104099</v>
      </c>
      <c r="C23" s="18">
        <v>9070.8680918989994</v>
      </c>
      <c r="D23" s="18">
        <v>13171.7668428094</v>
      </c>
      <c r="E23" s="2" t="s">
        <v>2</v>
      </c>
    </row>
    <row r="24" spans="1:5" ht="24.95" customHeight="1" x14ac:dyDescent="0.2">
      <c r="A24" s="11" t="s">
        <v>194</v>
      </c>
      <c r="B24" s="9">
        <v>5396.7597397466798</v>
      </c>
      <c r="C24" s="18">
        <v>15525.1038659347</v>
      </c>
      <c r="D24" s="18">
        <v>20921.863605681399</v>
      </c>
      <c r="E24" s="2" t="s">
        <v>2</v>
      </c>
    </row>
    <row r="25" spans="1:5" ht="24.95" customHeight="1" x14ac:dyDescent="0.2">
      <c r="A25" s="11" t="s">
        <v>195</v>
      </c>
      <c r="B25" s="9">
        <v>4094.2906639123298</v>
      </c>
      <c r="C25" s="18">
        <v>2248.1790945489602</v>
      </c>
      <c r="D25" s="18">
        <v>6342.4697584613004</v>
      </c>
      <c r="E25" s="2" t="s">
        <v>2</v>
      </c>
    </row>
    <row r="26" spans="1:5" ht="24.95" customHeight="1" x14ac:dyDescent="0.25">
      <c r="A26" s="12" t="s">
        <v>197</v>
      </c>
      <c r="B26" s="10">
        <v>118520.760137302</v>
      </c>
      <c r="C26" s="19">
        <v>447626.12421682797</v>
      </c>
      <c r="D26" s="19">
        <v>566146.88435413002</v>
      </c>
      <c r="E26" s="6" t="s">
        <v>2</v>
      </c>
    </row>
    <row r="27" spans="1:5" ht="24.95" customHeight="1" x14ac:dyDescent="0.2">
      <c r="A27" s="11" t="s">
        <v>198</v>
      </c>
      <c r="B27" s="9">
        <v>89260.180963740102</v>
      </c>
      <c r="C27" s="18">
        <v>70715.249170630006</v>
      </c>
      <c r="D27" s="18">
        <v>159975.43013436999</v>
      </c>
      <c r="E27" s="2" t="s">
        <v>2</v>
      </c>
    </row>
    <row r="28" spans="1:5" ht="24.95" customHeight="1" x14ac:dyDescent="0.2">
      <c r="A28" s="11" t="s">
        <v>199</v>
      </c>
      <c r="B28" s="9">
        <v>902839.50743080804</v>
      </c>
      <c r="C28" s="18">
        <v>208316.636285179</v>
      </c>
      <c r="D28" s="18">
        <v>1111156.14371599</v>
      </c>
      <c r="E28" s="2" t="s">
        <v>2</v>
      </c>
    </row>
    <row r="29" spans="1:5" ht="24.95" customHeight="1" x14ac:dyDescent="0.25">
      <c r="A29" s="12" t="s">
        <v>200</v>
      </c>
      <c r="B29" s="10">
        <v>992099.68839454802</v>
      </c>
      <c r="C29" s="19">
        <v>279031.88545580901</v>
      </c>
      <c r="D29" s="19">
        <v>1271131.57385036</v>
      </c>
      <c r="E29" s="6" t="s">
        <v>2</v>
      </c>
    </row>
    <row r="30" spans="1:5" ht="24.95" customHeight="1" x14ac:dyDescent="0.25">
      <c r="A30" s="12" t="s">
        <v>422</v>
      </c>
      <c r="B30" s="10">
        <v>1110620.44853185</v>
      </c>
      <c r="C30" s="19">
        <v>726658.00967263698</v>
      </c>
      <c r="D30" s="19">
        <v>1837278.4582044899</v>
      </c>
      <c r="E30" s="6" t="s">
        <v>2</v>
      </c>
    </row>
    <row r="31" spans="1:5" ht="24.95" customHeight="1" x14ac:dyDescent="0.2">
      <c r="A31" s="11" t="s">
        <v>202</v>
      </c>
      <c r="B31" s="9">
        <v>2659017.8199999998</v>
      </c>
      <c r="C31" s="18">
        <v>20776.13</v>
      </c>
      <c r="D31" s="18">
        <v>2679793.9500000002</v>
      </c>
      <c r="E31" s="2" t="s">
        <v>2</v>
      </c>
    </row>
    <row r="32" spans="1:5" ht="24.95" customHeight="1" x14ac:dyDescent="0.25">
      <c r="A32" s="12" t="s">
        <v>423</v>
      </c>
      <c r="B32" s="10">
        <v>3769638.2685318501</v>
      </c>
      <c r="C32" s="19">
        <v>747434.13967263699</v>
      </c>
      <c r="D32" s="19">
        <v>4517072.4082044903</v>
      </c>
      <c r="E32" s="6" t="s">
        <v>424</v>
      </c>
    </row>
    <row r="33" spans="1:5" ht="24.95" customHeight="1" x14ac:dyDescent="0.2">
      <c r="A33" s="36" t="s">
        <v>203</v>
      </c>
      <c r="B33" s="9">
        <v>568099.18000000005</v>
      </c>
      <c r="C33" s="18">
        <v>77388.88</v>
      </c>
      <c r="D33" s="18">
        <v>645488.06000000006</v>
      </c>
      <c r="E33" s="2" t="s">
        <v>2</v>
      </c>
    </row>
    <row r="34" spans="1:5" ht="24.95" customHeight="1" x14ac:dyDescent="0.25">
      <c r="A34" s="37" t="s">
        <v>204</v>
      </c>
      <c r="B34" s="10">
        <v>4337737.4485318502</v>
      </c>
      <c r="C34" s="19">
        <v>824823.01967263699</v>
      </c>
      <c r="D34" s="19">
        <v>5162560.4682044899</v>
      </c>
      <c r="E34" s="6" t="s">
        <v>2</v>
      </c>
    </row>
    <row r="35" spans="1:5" ht="24.95" customHeight="1" x14ac:dyDescent="0.2">
      <c r="A35" s="36" t="s">
        <v>425</v>
      </c>
      <c r="B35" s="9">
        <v>33094</v>
      </c>
      <c r="C35" s="18">
        <v>14564</v>
      </c>
      <c r="D35" s="18">
        <v>47658</v>
      </c>
      <c r="E35" s="2" t="s">
        <v>2</v>
      </c>
    </row>
    <row r="36" spans="1:5" ht="24.95" customHeight="1" x14ac:dyDescent="0.2">
      <c r="A36" s="36" t="s">
        <v>205</v>
      </c>
      <c r="B36" s="9">
        <v>580218.01</v>
      </c>
      <c r="C36" s="18">
        <v>379.66</v>
      </c>
      <c r="D36" s="18">
        <v>580597.67000000004</v>
      </c>
      <c r="E36" s="2" t="s">
        <v>2</v>
      </c>
    </row>
  </sheetData>
  <hyperlinks>
    <hyperlink ref="A5" r:id="rId1" xr:uid="{00000000-0004-0000-1000-000000000000}"/>
  </hyperlinks>
  <pageMargins left="0.7" right="0.7" top="0.75" bottom="0.75" header="0.3" footer="0.3"/>
  <pageSetup paperSize="9" orientation="portrait" horizontalDpi="300" verticalDpi="300"/>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2"/>
  <sheetViews>
    <sheetView showGridLines="0" zoomScaleNormal="100" workbookViewId="0"/>
  </sheetViews>
  <sheetFormatPr defaultColWidth="11.5546875" defaultRowHeight="15" x14ac:dyDescent="0.2"/>
  <cols>
    <col min="1" max="1" width="50.6640625" customWidth="1"/>
    <col min="2" max="16" width="15.6640625" customWidth="1"/>
    <col min="17" max="17" width="50.5546875" customWidth="1"/>
    <col min="18" max="100" width="15.6640625" customWidth="1"/>
  </cols>
  <sheetData>
    <row r="1" spans="1:17" ht="20.25" x14ac:dyDescent="0.3">
      <c r="A1" s="4" t="s">
        <v>614</v>
      </c>
    </row>
    <row r="2" spans="1:17" x14ac:dyDescent="0.2">
      <c r="A2" t="s">
        <v>37</v>
      </c>
    </row>
    <row r="3" spans="1:17" x14ac:dyDescent="0.2">
      <c r="A3" t="s">
        <v>139</v>
      </c>
    </row>
    <row r="4" spans="1:17" x14ac:dyDescent="0.2">
      <c r="A4" s="7" t="str">
        <f>HYPERLINK("#Notes!A1", "Link to Notes table")</f>
        <v>Link to Notes table</v>
      </c>
    </row>
    <row r="5" spans="1:17" ht="15.75" thickBot="1" x14ac:dyDescent="0.25">
      <c r="A5" s="7" t="s">
        <v>140</v>
      </c>
    </row>
    <row r="6" spans="1:17" ht="79.5" thickBot="1" x14ac:dyDescent="0.3">
      <c r="A6" s="14" t="s">
        <v>426</v>
      </c>
      <c r="B6" s="15" t="s">
        <v>427</v>
      </c>
      <c r="C6" s="15" t="s">
        <v>428</v>
      </c>
      <c r="D6" s="15" t="s">
        <v>429</v>
      </c>
      <c r="E6" s="17" t="s">
        <v>430</v>
      </c>
      <c r="F6" s="20" t="s">
        <v>431</v>
      </c>
      <c r="G6" s="15" t="s">
        <v>432</v>
      </c>
      <c r="H6" s="15" t="s">
        <v>433</v>
      </c>
      <c r="I6" s="15" t="s">
        <v>434</v>
      </c>
      <c r="J6" s="17" t="s">
        <v>435</v>
      </c>
      <c r="K6" s="15" t="s">
        <v>436</v>
      </c>
      <c r="L6" s="15" t="s">
        <v>437</v>
      </c>
      <c r="M6" s="15" t="s">
        <v>438</v>
      </c>
      <c r="N6" s="15" t="s">
        <v>439</v>
      </c>
      <c r="O6" s="17" t="s">
        <v>440</v>
      </c>
      <c r="P6" s="20" t="s">
        <v>441</v>
      </c>
      <c r="Q6" s="16" t="s">
        <v>156</v>
      </c>
    </row>
    <row r="7" spans="1:17" ht="24.95" customHeight="1" x14ac:dyDescent="0.2">
      <c r="A7" s="67" t="s">
        <v>157</v>
      </c>
      <c r="B7" s="9">
        <v>0</v>
      </c>
      <c r="C7" s="9">
        <v>0</v>
      </c>
      <c r="D7" s="9" t="s">
        <v>612</v>
      </c>
      <c r="E7" s="18">
        <v>108</v>
      </c>
      <c r="F7" s="18">
        <v>635</v>
      </c>
      <c r="G7" s="9">
        <v>640</v>
      </c>
      <c r="H7" s="9">
        <v>316</v>
      </c>
      <c r="I7" s="9">
        <v>322</v>
      </c>
      <c r="J7" s="85">
        <v>378</v>
      </c>
      <c r="K7" s="86">
        <v>73</v>
      </c>
      <c r="L7" s="9" t="s">
        <v>612</v>
      </c>
      <c r="M7" s="9">
        <v>62</v>
      </c>
      <c r="N7" s="9">
        <v>89</v>
      </c>
      <c r="O7" s="18">
        <v>171</v>
      </c>
      <c r="P7" s="18">
        <v>2802</v>
      </c>
      <c r="Q7" s="38" t="s">
        <v>615</v>
      </c>
    </row>
    <row r="8" spans="1:17" ht="24.95" customHeight="1" x14ac:dyDescent="0.2">
      <c r="A8" s="11" t="s">
        <v>159</v>
      </c>
      <c r="B8" s="9">
        <v>0</v>
      </c>
      <c r="C8" s="9">
        <v>16</v>
      </c>
      <c r="D8" s="9">
        <v>7</v>
      </c>
      <c r="E8" s="18">
        <v>67</v>
      </c>
      <c r="F8" s="18">
        <v>552</v>
      </c>
      <c r="G8" s="9">
        <v>284</v>
      </c>
      <c r="H8" s="9">
        <v>160</v>
      </c>
      <c r="I8" s="9">
        <v>171</v>
      </c>
      <c r="J8" s="18">
        <v>252</v>
      </c>
      <c r="K8" s="9">
        <v>44</v>
      </c>
      <c r="L8" s="9">
        <v>11</v>
      </c>
      <c r="M8" s="9">
        <v>87</v>
      </c>
      <c r="N8" s="9">
        <v>89</v>
      </c>
      <c r="O8" s="18">
        <v>173</v>
      </c>
      <c r="P8" s="18">
        <v>1913</v>
      </c>
      <c r="Q8" s="2"/>
    </row>
    <row r="9" spans="1:17" ht="24.95" customHeight="1" x14ac:dyDescent="0.2">
      <c r="A9" s="11" t="s">
        <v>160</v>
      </c>
      <c r="B9" s="9">
        <v>14</v>
      </c>
      <c r="C9" s="9">
        <v>394</v>
      </c>
      <c r="D9" s="9">
        <v>12</v>
      </c>
      <c r="E9" s="18">
        <v>550</v>
      </c>
      <c r="F9" s="18">
        <v>2482</v>
      </c>
      <c r="G9" s="9">
        <v>1053</v>
      </c>
      <c r="H9" s="9">
        <v>365</v>
      </c>
      <c r="I9" s="9">
        <v>298</v>
      </c>
      <c r="J9" s="18">
        <v>376</v>
      </c>
      <c r="K9" s="9">
        <v>167</v>
      </c>
      <c r="L9" s="9">
        <v>80</v>
      </c>
      <c r="M9" s="9">
        <v>222</v>
      </c>
      <c r="N9" s="9">
        <v>232</v>
      </c>
      <c r="O9" s="18">
        <v>367</v>
      </c>
      <c r="P9" s="18">
        <v>6612</v>
      </c>
      <c r="Q9" s="2"/>
    </row>
    <row r="10" spans="1:17" ht="24.95" customHeight="1" x14ac:dyDescent="0.25">
      <c r="A10" s="12" t="s">
        <v>414</v>
      </c>
      <c r="B10" s="10">
        <v>14</v>
      </c>
      <c r="C10" s="10">
        <v>399</v>
      </c>
      <c r="D10" s="10">
        <v>12</v>
      </c>
      <c r="E10" s="19">
        <v>559</v>
      </c>
      <c r="F10" s="19">
        <v>2563</v>
      </c>
      <c r="G10" s="10">
        <v>1108</v>
      </c>
      <c r="H10" s="10">
        <v>404</v>
      </c>
      <c r="I10" s="10">
        <v>354</v>
      </c>
      <c r="J10" s="19">
        <v>463</v>
      </c>
      <c r="K10" s="10">
        <v>177</v>
      </c>
      <c r="L10" s="10">
        <v>80</v>
      </c>
      <c r="M10" s="10">
        <v>257</v>
      </c>
      <c r="N10" s="10">
        <v>249</v>
      </c>
      <c r="O10" s="19">
        <v>421</v>
      </c>
      <c r="P10" s="19">
        <v>7060</v>
      </c>
      <c r="Q10" s="6" t="s">
        <v>2</v>
      </c>
    </row>
    <row r="11" spans="1:17" ht="24.95" customHeight="1" x14ac:dyDescent="0.2">
      <c r="A11" s="11" t="s">
        <v>415</v>
      </c>
      <c r="B11" s="9">
        <v>10</v>
      </c>
      <c r="C11" s="9">
        <v>70</v>
      </c>
      <c r="D11" s="9">
        <v>150</v>
      </c>
      <c r="E11" s="18">
        <v>207</v>
      </c>
      <c r="F11" s="18">
        <v>365</v>
      </c>
      <c r="G11" s="9">
        <v>208</v>
      </c>
      <c r="H11" s="9">
        <v>148</v>
      </c>
      <c r="I11" s="9">
        <v>86</v>
      </c>
      <c r="J11" s="18">
        <v>228</v>
      </c>
      <c r="K11" s="9">
        <v>69</v>
      </c>
      <c r="L11" s="9">
        <v>6</v>
      </c>
      <c r="M11" s="9">
        <v>31</v>
      </c>
      <c r="N11" s="9">
        <v>13</v>
      </c>
      <c r="O11" s="18">
        <v>54</v>
      </c>
      <c r="P11" s="18">
        <v>1645</v>
      </c>
      <c r="Q11" s="2" t="s">
        <v>2</v>
      </c>
    </row>
    <row r="12" spans="1:17" ht="24.95" customHeight="1" x14ac:dyDescent="0.2">
      <c r="A12" s="11" t="s">
        <v>158</v>
      </c>
      <c r="B12" s="9">
        <v>0</v>
      </c>
      <c r="C12" s="9" t="s">
        <v>612</v>
      </c>
      <c r="D12" s="9">
        <v>0</v>
      </c>
      <c r="E12" s="18" t="s">
        <v>612</v>
      </c>
      <c r="F12" s="18">
        <v>7</v>
      </c>
      <c r="G12" s="9" t="s">
        <v>612</v>
      </c>
      <c r="H12" s="9">
        <v>0</v>
      </c>
      <c r="I12" s="9" t="s">
        <v>612</v>
      </c>
      <c r="J12" s="18" t="s">
        <v>612</v>
      </c>
      <c r="K12" s="9" t="s">
        <v>612</v>
      </c>
      <c r="L12" s="9" t="s">
        <v>612</v>
      </c>
      <c r="M12" s="9" t="s">
        <v>612</v>
      </c>
      <c r="N12" s="9" t="s">
        <v>612</v>
      </c>
      <c r="O12" s="18">
        <v>6</v>
      </c>
      <c r="P12" s="18">
        <v>34</v>
      </c>
      <c r="Q12" s="38" t="s">
        <v>616</v>
      </c>
    </row>
    <row r="13" spans="1:17" ht="24.95" customHeight="1" x14ac:dyDescent="0.2">
      <c r="A13" s="11" t="s">
        <v>416</v>
      </c>
      <c r="B13" s="9">
        <v>0</v>
      </c>
      <c r="C13" s="9" t="s">
        <v>612</v>
      </c>
      <c r="D13" s="9">
        <v>0</v>
      </c>
      <c r="E13" s="18">
        <v>86</v>
      </c>
      <c r="F13" s="18">
        <v>506</v>
      </c>
      <c r="G13" s="9">
        <v>322</v>
      </c>
      <c r="H13" s="9">
        <v>97</v>
      </c>
      <c r="I13" s="9">
        <v>144</v>
      </c>
      <c r="J13" s="18">
        <v>213</v>
      </c>
      <c r="K13" s="9">
        <v>25</v>
      </c>
      <c r="L13" s="9">
        <v>0</v>
      </c>
      <c r="M13" s="9" t="s">
        <v>612</v>
      </c>
      <c r="N13" s="9" t="s">
        <v>612</v>
      </c>
      <c r="O13" s="18">
        <v>12</v>
      </c>
      <c r="P13" s="18">
        <v>1411</v>
      </c>
      <c r="Q13" s="38" t="s">
        <v>617</v>
      </c>
    </row>
    <row r="14" spans="1:17" ht="24.95" customHeight="1" x14ac:dyDescent="0.2">
      <c r="A14" s="11" t="s">
        <v>417</v>
      </c>
      <c r="B14" s="9">
        <v>50</v>
      </c>
      <c r="C14" s="9">
        <v>75</v>
      </c>
      <c r="D14" s="9">
        <v>445</v>
      </c>
      <c r="E14" s="18">
        <v>456</v>
      </c>
      <c r="F14" s="18">
        <v>489</v>
      </c>
      <c r="G14" s="9">
        <v>802</v>
      </c>
      <c r="H14" s="9">
        <v>195</v>
      </c>
      <c r="I14" s="9">
        <v>100</v>
      </c>
      <c r="J14" s="18">
        <v>115</v>
      </c>
      <c r="K14" s="9">
        <v>10</v>
      </c>
      <c r="L14" s="9">
        <v>23</v>
      </c>
      <c r="M14" s="9">
        <v>22</v>
      </c>
      <c r="N14" s="9">
        <v>33</v>
      </c>
      <c r="O14" s="18">
        <v>35</v>
      </c>
      <c r="P14" s="18">
        <v>2850</v>
      </c>
      <c r="Q14" s="2" t="s">
        <v>2</v>
      </c>
    </row>
    <row r="15" spans="1:17" ht="24.95" customHeight="1" x14ac:dyDescent="0.2">
      <c r="A15" s="11" t="s">
        <v>442</v>
      </c>
      <c r="B15" s="9">
        <v>0</v>
      </c>
      <c r="C15" s="9">
        <v>0</v>
      </c>
      <c r="D15" s="9" t="s">
        <v>612</v>
      </c>
      <c r="E15" s="18">
        <v>32</v>
      </c>
      <c r="F15" s="18">
        <v>62</v>
      </c>
      <c r="G15" s="9">
        <v>56</v>
      </c>
      <c r="H15" s="9">
        <v>37</v>
      </c>
      <c r="I15" s="9">
        <v>36</v>
      </c>
      <c r="J15" s="18">
        <v>30</v>
      </c>
      <c r="K15" s="9">
        <v>12</v>
      </c>
      <c r="L15" s="9">
        <v>0</v>
      </c>
      <c r="M15" s="9" t="s">
        <v>612</v>
      </c>
      <c r="N15" s="9">
        <v>12</v>
      </c>
      <c r="O15" s="18">
        <v>16</v>
      </c>
      <c r="P15" s="18">
        <v>299</v>
      </c>
      <c r="Q15" s="38" t="s">
        <v>618</v>
      </c>
    </row>
    <row r="16" spans="1:17" ht="24.95" customHeight="1" x14ac:dyDescent="0.2">
      <c r="A16" s="11" t="s">
        <v>443</v>
      </c>
      <c r="B16" s="9">
        <v>99</v>
      </c>
      <c r="C16" s="9">
        <v>185</v>
      </c>
      <c r="D16" s="9">
        <v>82</v>
      </c>
      <c r="E16" s="18">
        <v>429</v>
      </c>
      <c r="F16" s="18">
        <v>744</v>
      </c>
      <c r="G16" s="9">
        <v>240</v>
      </c>
      <c r="H16" s="9">
        <v>67</v>
      </c>
      <c r="I16" s="9">
        <v>67</v>
      </c>
      <c r="J16" s="18">
        <v>197</v>
      </c>
      <c r="K16" s="9">
        <v>53</v>
      </c>
      <c r="L16" s="9">
        <v>48</v>
      </c>
      <c r="M16" s="9">
        <v>69</v>
      </c>
      <c r="N16" s="9">
        <v>91</v>
      </c>
      <c r="O16" s="18">
        <v>264</v>
      </c>
      <c r="P16" s="18">
        <v>2635</v>
      </c>
      <c r="Q16" s="2" t="s">
        <v>444</v>
      </c>
    </row>
    <row r="17" spans="1:17" ht="24.95" customHeight="1" x14ac:dyDescent="0.2">
      <c r="A17" s="11" t="s">
        <v>190</v>
      </c>
      <c r="B17" s="9">
        <v>39</v>
      </c>
      <c r="C17" s="9">
        <v>35</v>
      </c>
      <c r="D17" s="9">
        <v>310</v>
      </c>
      <c r="E17" s="18">
        <v>468</v>
      </c>
      <c r="F17" s="18">
        <v>372</v>
      </c>
      <c r="G17" s="9">
        <v>595</v>
      </c>
      <c r="H17" s="9">
        <v>219</v>
      </c>
      <c r="I17" s="9">
        <v>138</v>
      </c>
      <c r="J17" s="18">
        <v>134</v>
      </c>
      <c r="K17" s="9">
        <v>23</v>
      </c>
      <c r="L17" s="9">
        <v>41</v>
      </c>
      <c r="M17" s="9">
        <v>25</v>
      </c>
      <c r="N17" s="9">
        <v>35</v>
      </c>
      <c r="O17" s="18">
        <v>47</v>
      </c>
      <c r="P17" s="18">
        <v>2481</v>
      </c>
      <c r="Q17" s="2" t="s">
        <v>2</v>
      </c>
    </row>
    <row r="18" spans="1:17" ht="24.95" customHeight="1" x14ac:dyDescent="0.2">
      <c r="A18" s="11" t="s">
        <v>420</v>
      </c>
      <c r="B18" s="9" t="s">
        <v>612</v>
      </c>
      <c r="C18" s="9" t="s">
        <v>612</v>
      </c>
      <c r="D18" s="9">
        <v>140</v>
      </c>
      <c r="E18" s="18">
        <v>409</v>
      </c>
      <c r="F18" s="18">
        <v>145</v>
      </c>
      <c r="G18" s="9">
        <v>137</v>
      </c>
      <c r="H18" s="9">
        <v>42</v>
      </c>
      <c r="I18" s="9">
        <v>43</v>
      </c>
      <c r="J18" s="18">
        <v>38</v>
      </c>
      <c r="K18" s="9">
        <v>14</v>
      </c>
      <c r="L18" s="9">
        <v>51</v>
      </c>
      <c r="M18" s="9">
        <v>46</v>
      </c>
      <c r="N18" s="9">
        <v>30</v>
      </c>
      <c r="O18" s="18">
        <v>53</v>
      </c>
      <c r="P18" s="18">
        <v>1160</v>
      </c>
      <c r="Q18" s="38" t="s">
        <v>619</v>
      </c>
    </row>
    <row r="19" spans="1:17" ht="24.95" customHeight="1" x14ac:dyDescent="0.2">
      <c r="A19" s="11" t="s">
        <v>421</v>
      </c>
      <c r="B19" s="9" t="s">
        <v>612</v>
      </c>
      <c r="C19" s="9" t="s">
        <v>612</v>
      </c>
      <c r="D19" s="9">
        <v>50</v>
      </c>
      <c r="E19" s="18">
        <v>65</v>
      </c>
      <c r="F19" s="18">
        <v>63</v>
      </c>
      <c r="G19" s="9">
        <v>62</v>
      </c>
      <c r="H19" s="9">
        <v>15</v>
      </c>
      <c r="I19" s="9">
        <v>20</v>
      </c>
      <c r="J19" s="18" t="s">
        <v>612</v>
      </c>
      <c r="K19" s="9" t="s">
        <v>612</v>
      </c>
      <c r="L19" s="9">
        <v>20</v>
      </c>
      <c r="M19" s="9">
        <v>8</v>
      </c>
      <c r="N19" s="9">
        <v>8</v>
      </c>
      <c r="O19" s="18">
        <v>23</v>
      </c>
      <c r="P19" s="18">
        <v>356</v>
      </c>
      <c r="Q19" s="38" t="s">
        <v>620</v>
      </c>
    </row>
    <row r="20" spans="1:17" ht="24.95" customHeight="1" x14ac:dyDescent="0.2">
      <c r="A20" s="11" t="s">
        <v>193</v>
      </c>
      <c r="B20" s="9">
        <v>44</v>
      </c>
      <c r="C20" s="9">
        <v>121</v>
      </c>
      <c r="D20" s="9">
        <v>102</v>
      </c>
      <c r="E20" s="18">
        <v>455</v>
      </c>
      <c r="F20" s="18">
        <v>609</v>
      </c>
      <c r="G20" s="9">
        <v>403</v>
      </c>
      <c r="H20" s="9">
        <v>190</v>
      </c>
      <c r="I20" s="9">
        <v>149</v>
      </c>
      <c r="J20" s="18">
        <v>247</v>
      </c>
      <c r="K20" s="9">
        <v>45</v>
      </c>
      <c r="L20" s="9">
        <v>54</v>
      </c>
      <c r="M20" s="9">
        <v>70</v>
      </c>
      <c r="N20" s="9">
        <v>91</v>
      </c>
      <c r="O20" s="18">
        <v>128</v>
      </c>
      <c r="P20" s="18">
        <v>2708</v>
      </c>
      <c r="Q20" s="2" t="s">
        <v>2</v>
      </c>
    </row>
    <row r="21" spans="1:17" ht="24.95" customHeight="1" x14ac:dyDescent="0.2">
      <c r="A21" s="11" t="s">
        <v>194</v>
      </c>
      <c r="B21" s="9">
        <v>22</v>
      </c>
      <c r="C21" s="9">
        <v>71</v>
      </c>
      <c r="D21" s="9">
        <v>206</v>
      </c>
      <c r="E21" s="18">
        <v>672</v>
      </c>
      <c r="F21" s="18">
        <v>1625</v>
      </c>
      <c r="G21" s="9">
        <v>859</v>
      </c>
      <c r="H21" s="9">
        <v>314</v>
      </c>
      <c r="I21" s="9">
        <v>260</v>
      </c>
      <c r="J21" s="18">
        <v>278</v>
      </c>
      <c r="K21" s="9">
        <v>113</v>
      </c>
      <c r="L21" s="9">
        <v>30</v>
      </c>
      <c r="M21" s="9">
        <v>129</v>
      </c>
      <c r="N21" s="9">
        <v>115</v>
      </c>
      <c r="O21" s="18">
        <v>155</v>
      </c>
      <c r="P21" s="18">
        <v>4849</v>
      </c>
      <c r="Q21" s="2" t="s">
        <v>2</v>
      </c>
    </row>
    <row r="22" spans="1:17" ht="24.95" customHeight="1" x14ac:dyDescent="0.2">
      <c r="A22" s="11" t="s">
        <v>195</v>
      </c>
      <c r="B22" s="9" t="s">
        <v>612</v>
      </c>
      <c r="C22" s="9">
        <v>96</v>
      </c>
      <c r="D22" s="9">
        <v>267</v>
      </c>
      <c r="E22" s="18">
        <v>549</v>
      </c>
      <c r="F22" s="18">
        <v>544</v>
      </c>
      <c r="G22" s="9">
        <v>261</v>
      </c>
      <c r="H22" s="9">
        <v>91</v>
      </c>
      <c r="I22" s="9">
        <v>94</v>
      </c>
      <c r="J22" s="18">
        <v>98</v>
      </c>
      <c r="K22" s="9">
        <v>56</v>
      </c>
      <c r="L22" s="9" t="s">
        <v>612</v>
      </c>
      <c r="M22" s="9">
        <v>125</v>
      </c>
      <c r="N22" s="9">
        <v>98</v>
      </c>
      <c r="O22" s="18">
        <v>116</v>
      </c>
      <c r="P22" s="18">
        <v>2497</v>
      </c>
      <c r="Q22" s="38" t="s">
        <v>621</v>
      </c>
    </row>
    <row r="23" spans="1:17" ht="24.95" customHeight="1" x14ac:dyDescent="0.25">
      <c r="A23" s="12" t="s">
        <v>197</v>
      </c>
      <c r="B23" s="10">
        <v>228</v>
      </c>
      <c r="C23" s="10">
        <v>660</v>
      </c>
      <c r="D23" s="10">
        <v>1042</v>
      </c>
      <c r="E23" s="19">
        <v>2303</v>
      </c>
      <c r="F23" s="19">
        <v>3846</v>
      </c>
      <c r="G23" s="10">
        <v>1746</v>
      </c>
      <c r="H23" s="10">
        <v>657</v>
      </c>
      <c r="I23" s="10">
        <v>632</v>
      </c>
      <c r="J23" s="19">
        <v>872</v>
      </c>
      <c r="K23" s="10">
        <v>354</v>
      </c>
      <c r="L23" s="10">
        <v>286</v>
      </c>
      <c r="M23" s="10">
        <v>573</v>
      </c>
      <c r="N23" s="10">
        <v>539</v>
      </c>
      <c r="O23" s="19">
        <v>928</v>
      </c>
      <c r="P23" s="19">
        <v>14666</v>
      </c>
      <c r="Q23" s="6" t="s">
        <v>2</v>
      </c>
    </row>
    <row r="24" spans="1:17" ht="24.95" customHeight="1" x14ac:dyDescent="0.2">
      <c r="A24" s="11" t="s">
        <v>198</v>
      </c>
      <c r="B24" s="9">
        <v>248</v>
      </c>
      <c r="C24" s="9">
        <v>737</v>
      </c>
      <c r="D24" s="9">
        <v>991</v>
      </c>
      <c r="E24" s="18">
        <v>2198</v>
      </c>
      <c r="F24" s="18">
        <v>3753</v>
      </c>
      <c r="G24" s="9">
        <v>1378</v>
      </c>
      <c r="H24" s="9">
        <v>509</v>
      </c>
      <c r="I24" s="9">
        <v>488</v>
      </c>
      <c r="J24" s="18">
        <v>872</v>
      </c>
      <c r="K24" s="9">
        <v>407</v>
      </c>
      <c r="L24" s="9">
        <v>250</v>
      </c>
      <c r="M24" s="9">
        <v>779</v>
      </c>
      <c r="N24" s="9">
        <v>661</v>
      </c>
      <c r="O24" s="18">
        <v>1162</v>
      </c>
      <c r="P24" s="18">
        <v>14433</v>
      </c>
      <c r="Q24" s="2" t="s">
        <v>2</v>
      </c>
    </row>
    <row r="25" spans="1:17" ht="24.95" customHeight="1" x14ac:dyDescent="0.2">
      <c r="A25" s="11" t="s">
        <v>199</v>
      </c>
      <c r="B25" s="9">
        <v>1503</v>
      </c>
      <c r="C25" s="9">
        <v>1524</v>
      </c>
      <c r="D25" s="9">
        <v>4297</v>
      </c>
      <c r="E25" s="18">
        <v>7663</v>
      </c>
      <c r="F25" s="18">
        <v>7374</v>
      </c>
      <c r="G25" s="9">
        <v>3033</v>
      </c>
      <c r="H25" s="9">
        <v>1237</v>
      </c>
      <c r="I25" s="9">
        <v>1251</v>
      </c>
      <c r="J25" s="18">
        <v>2273</v>
      </c>
      <c r="K25" s="9">
        <v>1303</v>
      </c>
      <c r="L25" s="9">
        <v>1575</v>
      </c>
      <c r="M25" s="9">
        <v>2637</v>
      </c>
      <c r="N25" s="9">
        <v>2450</v>
      </c>
      <c r="O25" s="18">
        <v>3471</v>
      </c>
      <c r="P25" s="18">
        <v>41591</v>
      </c>
      <c r="Q25" s="2" t="s">
        <v>2</v>
      </c>
    </row>
    <row r="26" spans="1:17" ht="24.95" customHeight="1" x14ac:dyDescent="0.2">
      <c r="A26" s="11" t="s">
        <v>202</v>
      </c>
      <c r="B26" s="9">
        <v>691</v>
      </c>
      <c r="C26" s="9">
        <v>475</v>
      </c>
      <c r="D26" s="9">
        <v>1055</v>
      </c>
      <c r="E26" s="18">
        <v>2657</v>
      </c>
      <c r="F26" s="18">
        <v>2022</v>
      </c>
      <c r="G26" s="9">
        <v>865</v>
      </c>
      <c r="H26" s="9">
        <v>230</v>
      </c>
      <c r="I26" s="9">
        <v>238</v>
      </c>
      <c r="J26" s="18">
        <v>703</v>
      </c>
      <c r="K26" s="9">
        <v>328</v>
      </c>
      <c r="L26" s="9">
        <v>855</v>
      </c>
      <c r="M26" s="9">
        <v>595</v>
      </c>
      <c r="N26" s="9">
        <v>534</v>
      </c>
      <c r="O26" s="18">
        <v>1216</v>
      </c>
      <c r="P26" s="18">
        <v>12464</v>
      </c>
      <c r="Q26" s="2" t="s">
        <v>2</v>
      </c>
    </row>
    <row r="27" spans="1:17" ht="24.95" customHeight="1" x14ac:dyDescent="0.25">
      <c r="A27" s="12" t="s">
        <v>446</v>
      </c>
      <c r="B27" s="10">
        <v>1567</v>
      </c>
      <c r="C27" s="10">
        <v>1582</v>
      </c>
      <c r="D27" s="10">
        <v>4673</v>
      </c>
      <c r="E27" s="19">
        <v>8303</v>
      </c>
      <c r="F27" s="19">
        <v>7752</v>
      </c>
      <c r="G27" s="10">
        <v>3237</v>
      </c>
      <c r="H27" s="10">
        <v>1288</v>
      </c>
      <c r="I27" s="10">
        <v>1306</v>
      </c>
      <c r="J27" s="19">
        <v>2374</v>
      </c>
      <c r="K27" s="10">
        <v>1377</v>
      </c>
      <c r="L27" s="10">
        <v>1724</v>
      </c>
      <c r="M27" s="10">
        <v>2739</v>
      </c>
      <c r="N27" s="10">
        <v>2545</v>
      </c>
      <c r="O27" s="19">
        <v>3641</v>
      </c>
      <c r="P27" s="19">
        <v>44108</v>
      </c>
      <c r="Q27" s="6" t="s">
        <v>2</v>
      </c>
    </row>
    <row r="28" spans="1:17" ht="24.6" customHeight="1" x14ac:dyDescent="0.2">
      <c r="A28" s="11" t="s">
        <v>423</v>
      </c>
      <c r="B28" s="9">
        <v>1587</v>
      </c>
      <c r="C28" s="9">
        <v>1646</v>
      </c>
      <c r="D28" s="9">
        <v>4993</v>
      </c>
      <c r="E28" s="18">
        <v>8754</v>
      </c>
      <c r="F28" s="18">
        <v>8110</v>
      </c>
      <c r="G28" s="9">
        <v>3446</v>
      </c>
      <c r="H28" s="9">
        <v>1342</v>
      </c>
      <c r="I28" s="9">
        <v>1384</v>
      </c>
      <c r="J28" s="18">
        <v>2423</v>
      </c>
      <c r="K28" s="9">
        <v>1435</v>
      </c>
      <c r="L28" s="9">
        <v>1782</v>
      </c>
      <c r="M28" s="9">
        <v>2819</v>
      </c>
      <c r="N28" s="9">
        <v>2598</v>
      </c>
      <c r="O28" s="18">
        <v>3718</v>
      </c>
      <c r="P28" s="18">
        <v>46037</v>
      </c>
      <c r="Q28" s="87" t="s">
        <v>2</v>
      </c>
    </row>
    <row r="29" spans="1:17" ht="24.95" customHeight="1" x14ac:dyDescent="0.2">
      <c r="A29" s="67" t="s">
        <v>203</v>
      </c>
      <c r="B29" s="9">
        <v>635</v>
      </c>
      <c r="C29" s="9" t="s">
        <v>612</v>
      </c>
      <c r="D29" s="9" t="s">
        <v>612</v>
      </c>
      <c r="E29" s="18">
        <v>3218</v>
      </c>
      <c r="F29" s="18">
        <v>3172</v>
      </c>
      <c r="G29" s="9">
        <v>1563</v>
      </c>
      <c r="H29" s="9">
        <v>579</v>
      </c>
      <c r="I29" s="9">
        <v>546</v>
      </c>
      <c r="J29" s="18">
        <v>1132</v>
      </c>
      <c r="K29" s="9">
        <v>549</v>
      </c>
      <c r="L29" s="9">
        <v>879</v>
      </c>
      <c r="M29" s="9">
        <v>1075</v>
      </c>
      <c r="N29" s="9">
        <v>1074</v>
      </c>
      <c r="O29" s="18">
        <v>1804</v>
      </c>
      <c r="P29" s="18">
        <v>18136</v>
      </c>
      <c r="Q29" s="38" t="s">
        <v>622</v>
      </c>
    </row>
    <row r="30" spans="1:17" ht="24.95" customHeight="1" x14ac:dyDescent="0.25">
      <c r="A30" s="12" t="s">
        <v>425</v>
      </c>
      <c r="B30" s="10">
        <v>1691</v>
      </c>
      <c r="C30" s="10">
        <v>1680</v>
      </c>
      <c r="D30" s="10">
        <v>5245</v>
      </c>
      <c r="E30" s="19">
        <v>9162</v>
      </c>
      <c r="F30" s="19">
        <v>8259</v>
      </c>
      <c r="G30" s="10">
        <v>3533</v>
      </c>
      <c r="H30" s="10">
        <v>1398</v>
      </c>
      <c r="I30" s="10">
        <v>1441</v>
      </c>
      <c r="J30" s="19">
        <v>2506</v>
      </c>
      <c r="K30" s="10">
        <v>1481</v>
      </c>
      <c r="L30" s="10">
        <v>1851</v>
      </c>
      <c r="M30" s="10">
        <v>2900</v>
      </c>
      <c r="N30" s="10">
        <v>2677</v>
      </c>
      <c r="O30" s="19">
        <v>3834</v>
      </c>
      <c r="P30" s="19">
        <v>47658</v>
      </c>
      <c r="Q30" s="6" t="s">
        <v>2</v>
      </c>
    </row>
    <row r="31" spans="1:17" ht="24.95" customHeight="1" thickBot="1" x14ac:dyDescent="0.25">
      <c r="A31" s="13" t="s">
        <v>205</v>
      </c>
      <c r="B31" s="9" t="s">
        <v>447</v>
      </c>
      <c r="C31" s="9" t="s">
        <v>447</v>
      </c>
      <c r="D31" s="9" t="s">
        <v>447</v>
      </c>
      <c r="E31" s="18" t="s">
        <v>447</v>
      </c>
      <c r="F31" s="18" t="s">
        <v>447</v>
      </c>
      <c r="G31" s="9" t="s">
        <v>447</v>
      </c>
      <c r="H31" s="9" t="s">
        <v>447</v>
      </c>
      <c r="I31" s="9" t="s">
        <v>447</v>
      </c>
      <c r="J31" s="18" t="s">
        <v>447</v>
      </c>
      <c r="K31" s="9" t="s">
        <v>447</v>
      </c>
      <c r="L31" s="9" t="s">
        <v>447</v>
      </c>
      <c r="M31" s="9" t="s">
        <v>447</v>
      </c>
      <c r="N31" s="9" t="s">
        <v>447</v>
      </c>
      <c r="O31" s="18" t="s">
        <v>447</v>
      </c>
      <c r="P31" s="18" t="s">
        <v>447</v>
      </c>
      <c r="Q31" s="38" t="s">
        <v>623</v>
      </c>
    </row>
    <row r="32" spans="1:17" ht="15.75" x14ac:dyDescent="0.25">
      <c r="B32" s="10"/>
      <c r="C32" s="10"/>
      <c r="D32" s="10"/>
      <c r="E32" s="10"/>
      <c r="F32" s="10"/>
      <c r="G32" s="10"/>
      <c r="H32" s="10"/>
      <c r="I32" s="10"/>
      <c r="J32" s="10"/>
      <c r="K32" s="10"/>
      <c r="L32" s="10"/>
      <c r="M32" s="10"/>
      <c r="N32" s="10"/>
      <c r="O32" s="10"/>
      <c r="P32" s="10"/>
    </row>
  </sheetData>
  <hyperlinks>
    <hyperlink ref="A5" r:id="rId1" xr:uid="{00000000-0004-0000-1100-000000000000}"/>
  </hyperlinks>
  <pageMargins left="0.7" right="0.7" top="0.75" bottom="0.75" header="0.3" footer="0.3"/>
  <pageSetup paperSize="9" orientation="portrait" horizontalDpi="300" verticalDpi="300"/>
  <legacy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sheetPr>
  <dimension ref="A1:Q34"/>
  <sheetViews>
    <sheetView showGridLines="0" zoomScaleNormal="100" workbookViewId="0"/>
  </sheetViews>
  <sheetFormatPr defaultColWidth="11.5546875" defaultRowHeight="15" x14ac:dyDescent="0.2"/>
  <cols>
    <col min="1" max="1" width="50.6640625" customWidth="1"/>
    <col min="2" max="16" width="15.6640625" customWidth="1"/>
    <col min="17" max="17" width="50.5546875" customWidth="1"/>
    <col min="18" max="100" width="15.6640625" customWidth="1"/>
  </cols>
  <sheetData>
    <row r="1" spans="1:17" ht="20.25" x14ac:dyDescent="0.3">
      <c r="A1" s="4" t="s">
        <v>598</v>
      </c>
    </row>
    <row r="2" spans="1:17" x14ac:dyDescent="0.2">
      <c r="A2" t="s">
        <v>37</v>
      </c>
    </row>
    <row r="3" spans="1:17" x14ac:dyDescent="0.2">
      <c r="A3" t="s">
        <v>139</v>
      </c>
    </row>
    <row r="4" spans="1:17" x14ac:dyDescent="0.2">
      <c r="A4" s="7" t="str">
        <f>HYPERLINK("#Notes!A1", "Link to Notes table")</f>
        <v>Link to Notes table</v>
      </c>
    </row>
    <row r="5" spans="1:17" ht="15.75" thickBot="1" x14ac:dyDescent="0.25">
      <c r="A5" s="7" t="s">
        <v>140</v>
      </c>
    </row>
    <row r="6" spans="1:17" ht="63.75" thickBot="1" x14ac:dyDescent="0.3">
      <c r="A6" s="14" t="s">
        <v>426</v>
      </c>
      <c r="B6" s="15" t="s">
        <v>448</v>
      </c>
      <c r="C6" s="15" t="s">
        <v>449</v>
      </c>
      <c r="D6" s="15" t="s">
        <v>450</v>
      </c>
      <c r="E6" s="17" t="s">
        <v>451</v>
      </c>
      <c r="F6" s="17" t="s">
        <v>452</v>
      </c>
      <c r="G6" s="15" t="s">
        <v>453</v>
      </c>
      <c r="H6" s="15" t="s">
        <v>454</v>
      </c>
      <c r="I6" s="15" t="s">
        <v>455</v>
      </c>
      <c r="J6" s="17" t="s">
        <v>456</v>
      </c>
      <c r="K6" s="15" t="s">
        <v>457</v>
      </c>
      <c r="L6" s="15" t="s">
        <v>458</v>
      </c>
      <c r="M6" s="15" t="s">
        <v>459</v>
      </c>
      <c r="N6" s="15" t="s">
        <v>460</v>
      </c>
      <c r="O6" s="17" t="s">
        <v>461</v>
      </c>
      <c r="P6" s="17" t="s">
        <v>462</v>
      </c>
      <c r="Q6" s="16" t="s">
        <v>156</v>
      </c>
    </row>
    <row r="7" spans="1:17" ht="24.95" customHeight="1" x14ac:dyDescent="0.2">
      <c r="A7" s="11" t="s">
        <v>157</v>
      </c>
      <c r="B7" s="9">
        <v>0</v>
      </c>
      <c r="C7" s="9">
        <v>0</v>
      </c>
      <c r="D7" s="9" t="s">
        <v>612</v>
      </c>
      <c r="E7" s="18">
        <v>2940.6911899152301</v>
      </c>
      <c r="F7" s="18">
        <v>21149.278835691301</v>
      </c>
      <c r="G7" s="9">
        <v>26373.468349506202</v>
      </c>
      <c r="H7" s="9">
        <v>14920.551853315899</v>
      </c>
      <c r="I7" s="9">
        <v>17421.599456179199</v>
      </c>
      <c r="J7" s="18">
        <v>23497.684735766001</v>
      </c>
      <c r="K7" s="86">
        <v>1860.0951386802101</v>
      </c>
      <c r="L7" s="9" t="s">
        <v>612</v>
      </c>
      <c r="M7" s="9">
        <v>1077.9309090256099</v>
      </c>
      <c r="N7" s="9">
        <v>1514.24579985178</v>
      </c>
      <c r="O7" s="18">
        <v>3735.1571990146399</v>
      </c>
      <c r="P7" s="18">
        <v>114519.25459783799</v>
      </c>
      <c r="Q7" s="38" t="s">
        <v>615</v>
      </c>
    </row>
    <row r="8" spans="1:17" ht="24.95" customHeight="1" x14ac:dyDescent="0.2">
      <c r="A8" s="11" t="s">
        <v>159</v>
      </c>
      <c r="B8" s="9">
        <v>0</v>
      </c>
      <c r="C8" s="9">
        <v>8.6316218803517799</v>
      </c>
      <c r="D8" s="9">
        <v>0.244721030652267</v>
      </c>
      <c r="E8" s="18">
        <v>1269.90589730231</v>
      </c>
      <c r="F8" s="18">
        <v>16405.286003978799</v>
      </c>
      <c r="G8" s="9">
        <v>5972.7806965887503</v>
      </c>
      <c r="H8" s="9">
        <v>3466.80391647122</v>
      </c>
      <c r="I8" s="9">
        <v>4497.3570284898096</v>
      </c>
      <c r="J8" s="18">
        <v>7029.4913831089298</v>
      </c>
      <c r="K8" s="9">
        <v>675.39304291748795</v>
      </c>
      <c r="L8" s="9">
        <v>123.013300302616</v>
      </c>
      <c r="M8" s="9">
        <v>1038.6730784162201</v>
      </c>
      <c r="N8" s="9">
        <v>1075.59146003565</v>
      </c>
      <c r="O8" s="18">
        <v>3401.9904496521499</v>
      </c>
      <c r="P8" s="18">
        <v>44965.162600174997</v>
      </c>
      <c r="Q8" s="2" t="s">
        <v>2</v>
      </c>
    </row>
    <row r="9" spans="1:17" ht="24.95" customHeight="1" x14ac:dyDescent="0.2">
      <c r="A9" s="11" t="s">
        <v>160</v>
      </c>
      <c r="B9" s="9">
        <v>52.521350730678101</v>
      </c>
      <c r="C9" s="9">
        <v>3787.64429449934</v>
      </c>
      <c r="D9" s="9">
        <v>12.285476964057599</v>
      </c>
      <c r="E9" s="18">
        <v>19105.2986117324</v>
      </c>
      <c r="F9" s="18">
        <v>92488.793153538194</v>
      </c>
      <c r="G9" s="9">
        <v>37149.567178019301</v>
      </c>
      <c r="H9" s="9">
        <v>12333.845906120599</v>
      </c>
      <c r="I9" s="9">
        <v>9177.0915476245791</v>
      </c>
      <c r="J9" s="18">
        <v>12334.716853519099</v>
      </c>
      <c r="K9" s="9">
        <v>5400.8603483256602</v>
      </c>
      <c r="L9" s="9">
        <v>1405.11865287042</v>
      </c>
      <c r="M9" s="9">
        <v>3969.87540631708</v>
      </c>
      <c r="N9" s="9">
        <v>3639.4054150621901</v>
      </c>
      <c r="O9" s="18">
        <v>6101.7948007279301</v>
      </c>
      <c r="P9" s="18">
        <v>206958.818996052</v>
      </c>
      <c r="Q9" s="2" t="s">
        <v>2</v>
      </c>
    </row>
    <row r="10" spans="1:17" ht="24.95" customHeight="1" x14ac:dyDescent="0.25">
      <c r="A10" s="12" t="s">
        <v>414</v>
      </c>
      <c r="B10" s="10">
        <v>52.521350730678101</v>
      </c>
      <c r="C10" s="10">
        <v>3796.27591637969</v>
      </c>
      <c r="D10" s="10">
        <v>12.5301979947099</v>
      </c>
      <c r="E10" s="19">
        <v>20375.204509034698</v>
      </c>
      <c r="F10" s="19">
        <v>108894.079157517</v>
      </c>
      <c r="G10" s="10">
        <v>43122.347874608</v>
      </c>
      <c r="H10" s="10">
        <v>15800.6498225919</v>
      </c>
      <c r="I10" s="10">
        <v>13674.448576114401</v>
      </c>
      <c r="J10" s="19">
        <v>19364.208236628001</v>
      </c>
      <c r="K10" s="10">
        <v>6076.25339124315</v>
      </c>
      <c r="L10" s="10">
        <v>1528.1319531730401</v>
      </c>
      <c r="M10" s="10">
        <v>5008.5484847333</v>
      </c>
      <c r="N10" s="10">
        <v>4714.9968750978496</v>
      </c>
      <c r="O10" s="19">
        <v>9503.7852503800805</v>
      </c>
      <c r="P10" s="19">
        <v>251923.98159622599</v>
      </c>
      <c r="Q10" s="6" t="s">
        <v>2</v>
      </c>
    </row>
    <row r="11" spans="1:17" ht="24.95" customHeight="1" x14ac:dyDescent="0.2">
      <c r="A11" s="11" t="s">
        <v>415</v>
      </c>
      <c r="B11" s="9">
        <v>8.1844140888218693</v>
      </c>
      <c r="C11" s="9">
        <v>310.08033929982997</v>
      </c>
      <c r="D11" s="9">
        <v>311.55605089161901</v>
      </c>
      <c r="E11" s="18">
        <v>3181.98081624516</v>
      </c>
      <c r="F11" s="18">
        <v>6131.9916812311303</v>
      </c>
      <c r="G11" s="9">
        <v>5628.6996445429904</v>
      </c>
      <c r="H11" s="9">
        <v>4315.0201230273296</v>
      </c>
      <c r="I11" s="9">
        <v>1747.5506036715601</v>
      </c>
      <c r="J11" s="18">
        <v>6408.0946807677401</v>
      </c>
      <c r="K11" s="9">
        <v>1409.8774749874699</v>
      </c>
      <c r="L11" s="9">
        <v>30.2888454229141</v>
      </c>
      <c r="M11" s="9">
        <v>349.97707475841202</v>
      </c>
      <c r="N11" s="9">
        <v>117.56724697489</v>
      </c>
      <c r="O11" s="18">
        <v>420.43325709476102</v>
      </c>
      <c r="P11" s="18">
        <v>30371.3022530046</v>
      </c>
      <c r="Q11" s="2" t="s">
        <v>2</v>
      </c>
    </row>
    <row r="12" spans="1:17" ht="24.95" customHeight="1" x14ac:dyDescent="0.2">
      <c r="A12" s="11" t="s">
        <v>158</v>
      </c>
      <c r="B12" s="9">
        <v>0</v>
      </c>
      <c r="C12" s="9" t="s">
        <v>612</v>
      </c>
      <c r="D12" s="9">
        <v>0</v>
      </c>
      <c r="E12" s="18" t="s">
        <v>612</v>
      </c>
      <c r="F12" s="18">
        <v>39.716450000000002</v>
      </c>
      <c r="G12" s="9" t="s">
        <v>612</v>
      </c>
      <c r="H12" s="9">
        <v>0</v>
      </c>
      <c r="I12" s="9" t="s">
        <v>612</v>
      </c>
      <c r="J12" s="18" t="s">
        <v>612</v>
      </c>
      <c r="K12" s="9" t="s">
        <v>612</v>
      </c>
      <c r="L12" s="9" t="s">
        <v>612</v>
      </c>
      <c r="M12" s="9" t="s">
        <v>612</v>
      </c>
      <c r="N12" s="9" t="s">
        <v>612</v>
      </c>
      <c r="O12" s="18">
        <v>23.719820828868901</v>
      </c>
      <c r="P12" s="18">
        <v>269.37123698303202</v>
      </c>
      <c r="Q12" s="38" t="s">
        <v>616</v>
      </c>
    </row>
    <row r="13" spans="1:17" ht="24.95" customHeight="1" x14ac:dyDescent="0.2">
      <c r="A13" s="11" t="s">
        <v>416</v>
      </c>
      <c r="B13" s="9">
        <v>0</v>
      </c>
      <c r="C13" s="9" t="s">
        <v>612</v>
      </c>
      <c r="D13" s="9">
        <v>0</v>
      </c>
      <c r="E13" s="18">
        <v>2137.4415989610502</v>
      </c>
      <c r="F13" s="18">
        <v>15548.841457581901</v>
      </c>
      <c r="G13" s="9">
        <v>8736.6769585471193</v>
      </c>
      <c r="H13" s="9">
        <v>2308.2527601227098</v>
      </c>
      <c r="I13" s="9">
        <v>4111.8476707386299</v>
      </c>
      <c r="J13" s="18">
        <v>8519.9316476937402</v>
      </c>
      <c r="K13" s="9">
        <v>517.31360796240597</v>
      </c>
      <c r="L13" s="9">
        <v>0</v>
      </c>
      <c r="M13" s="9" t="s">
        <v>612</v>
      </c>
      <c r="N13" s="9" t="s">
        <v>612</v>
      </c>
      <c r="O13" s="18">
        <v>413.36256486723602</v>
      </c>
      <c r="P13" s="18">
        <v>42396.490462195099</v>
      </c>
      <c r="Q13" s="38" t="s">
        <v>617</v>
      </c>
    </row>
    <row r="14" spans="1:17" ht="24.95" customHeight="1" x14ac:dyDescent="0.2">
      <c r="A14" s="11" t="s">
        <v>417</v>
      </c>
      <c r="B14" s="9">
        <v>8.1686089541193301</v>
      </c>
      <c r="C14" s="9">
        <v>17.707960674031899</v>
      </c>
      <c r="D14" s="9">
        <v>40.501171419276602</v>
      </c>
      <c r="E14" s="18">
        <v>1719.6216945506901</v>
      </c>
      <c r="F14" s="18">
        <v>5757.6720636079699</v>
      </c>
      <c r="G14" s="9">
        <v>13731.9591262018</v>
      </c>
      <c r="H14" s="9">
        <v>3406.7639810535202</v>
      </c>
      <c r="I14" s="9">
        <v>1495.74659200673</v>
      </c>
      <c r="J14" s="18">
        <v>1967.6348703952399</v>
      </c>
      <c r="K14" s="9">
        <v>157.40238792967301</v>
      </c>
      <c r="L14" s="9">
        <v>3.97213264447229</v>
      </c>
      <c r="M14" s="9">
        <v>110.90209077228501</v>
      </c>
      <c r="N14" s="9">
        <v>282.82152584421698</v>
      </c>
      <c r="O14" s="18">
        <v>294.65384408435699</v>
      </c>
      <c r="P14" s="18">
        <v>28995.5280501384</v>
      </c>
      <c r="Q14" s="2" t="s">
        <v>2</v>
      </c>
    </row>
    <row r="15" spans="1:17" ht="24.95" customHeight="1" x14ac:dyDescent="0.2">
      <c r="A15" s="11" t="s">
        <v>442</v>
      </c>
      <c r="B15" s="9">
        <v>0</v>
      </c>
      <c r="C15" s="9">
        <v>0</v>
      </c>
      <c r="D15" s="9" t="s">
        <v>612</v>
      </c>
      <c r="E15" s="18">
        <v>283.85827928344298</v>
      </c>
      <c r="F15" s="18">
        <v>577.12785507970898</v>
      </c>
      <c r="G15" s="9">
        <v>781.20394653507105</v>
      </c>
      <c r="H15" s="9">
        <v>552.11695526455799</v>
      </c>
      <c r="I15" s="9">
        <v>677.49417452087903</v>
      </c>
      <c r="J15" s="18">
        <v>437.80500243472102</v>
      </c>
      <c r="K15" s="9">
        <v>168.26640035146099</v>
      </c>
      <c r="L15" s="9">
        <v>0</v>
      </c>
      <c r="M15" s="9" t="s">
        <v>612</v>
      </c>
      <c r="N15" s="9">
        <v>92.400028771009303</v>
      </c>
      <c r="O15" s="18">
        <v>169.07819839033701</v>
      </c>
      <c r="P15" s="18">
        <v>3776.8605574041999</v>
      </c>
      <c r="Q15" s="38" t="s">
        <v>624</v>
      </c>
    </row>
    <row r="16" spans="1:17" ht="24.95" customHeight="1" x14ac:dyDescent="0.2">
      <c r="A16" s="11" t="s">
        <v>443</v>
      </c>
      <c r="B16" s="9">
        <v>120.91025800660699</v>
      </c>
      <c r="C16" s="9">
        <v>612.58991355317403</v>
      </c>
      <c r="D16" s="9">
        <v>25.303845121332799</v>
      </c>
      <c r="E16" s="18">
        <v>1586.43709149033</v>
      </c>
      <c r="F16" s="18">
        <v>4225.5140514136001</v>
      </c>
      <c r="G16" s="9">
        <v>1936.95241944329</v>
      </c>
      <c r="H16" s="9">
        <v>411.69088822812103</v>
      </c>
      <c r="I16" s="9">
        <v>592.94172556960098</v>
      </c>
      <c r="J16" s="18">
        <v>2376.3613871859302</v>
      </c>
      <c r="K16" s="9">
        <v>288.507690069018</v>
      </c>
      <c r="L16" s="9">
        <v>324.64231306170899</v>
      </c>
      <c r="M16" s="9">
        <v>343.186576614655</v>
      </c>
      <c r="N16" s="9">
        <v>734.03828319255501</v>
      </c>
      <c r="O16" s="18">
        <v>4029.2483914242298</v>
      </c>
      <c r="P16" s="18">
        <v>17608.324834374202</v>
      </c>
      <c r="Q16" s="38" t="s">
        <v>444</v>
      </c>
    </row>
    <row r="17" spans="1:17" ht="24.95" customHeight="1" x14ac:dyDescent="0.2">
      <c r="A17" s="11" t="s">
        <v>190</v>
      </c>
      <c r="B17" s="9">
        <v>2.7193841023750802</v>
      </c>
      <c r="C17" s="9">
        <v>13.351369530275299</v>
      </c>
      <c r="D17" s="9">
        <v>20.9850756830553</v>
      </c>
      <c r="E17" s="18">
        <v>494.74671834645699</v>
      </c>
      <c r="F17" s="18">
        <v>3430.1157186280898</v>
      </c>
      <c r="G17" s="9">
        <v>10650.810277909201</v>
      </c>
      <c r="H17" s="9">
        <v>4143.40532459922</v>
      </c>
      <c r="I17" s="9">
        <v>2550.3166635313901</v>
      </c>
      <c r="J17" s="18">
        <v>2698.4681637307699</v>
      </c>
      <c r="K17" s="9">
        <v>147.13443276805199</v>
      </c>
      <c r="L17" s="9">
        <v>4.3101765221389803</v>
      </c>
      <c r="M17" s="9">
        <v>76.092487808945293</v>
      </c>
      <c r="N17" s="9">
        <v>31.0264117079636</v>
      </c>
      <c r="O17" s="18">
        <v>36.629498796982197</v>
      </c>
      <c r="P17" s="18">
        <v>24300.111703664901</v>
      </c>
      <c r="Q17" s="2" t="s">
        <v>2</v>
      </c>
    </row>
    <row r="18" spans="1:17" ht="24.95" customHeight="1" x14ac:dyDescent="0.2">
      <c r="A18" s="11" t="s">
        <v>420</v>
      </c>
      <c r="B18" s="9" t="s">
        <v>612</v>
      </c>
      <c r="C18" s="9">
        <v>0.27550709685146402</v>
      </c>
      <c r="D18" s="9">
        <v>8.0313233125445898</v>
      </c>
      <c r="E18" s="18">
        <v>55.384631367395698</v>
      </c>
      <c r="F18" s="18">
        <v>221.28365310833101</v>
      </c>
      <c r="G18" s="9">
        <v>1378.61282580134</v>
      </c>
      <c r="H18" s="9">
        <v>275.02043870867601</v>
      </c>
      <c r="I18" s="9" t="s">
        <v>612</v>
      </c>
      <c r="J18" s="18">
        <v>20.7390041935463</v>
      </c>
      <c r="K18" s="9">
        <v>1.8774553864793899</v>
      </c>
      <c r="L18" s="9">
        <v>6.9404139353645702</v>
      </c>
      <c r="M18" s="9">
        <v>22.1410293946306</v>
      </c>
      <c r="N18" s="9">
        <v>2.3621450932678698</v>
      </c>
      <c r="O18" s="18">
        <v>7.7169394769600599</v>
      </c>
      <c r="P18" s="18">
        <v>2022.4527934263599</v>
      </c>
      <c r="Q18" s="38" t="s">
        <v>625</v>
      </c>
    </row>
    <row r="19" spans="1:17" ht="24.95" customHeight="1" x14ac:dyDescent="0.2">
      <c r="A19" s="11" t="s">
        <v>421</v>
      </c>
      <c r="B19" s="9" t="s">
        <v>612</v>
      </c>
      <c r="C19" s="9" t="s">
        <v>612</v>
      </c>
      <c r="D19" s="9">
        <v>5.4443423269095597</v>
      </c>
      <c r="E19" s="18" t="s">
        <v>612</v>
      </c>
      <c r="F19" s="18">
        <v>891.12665253232501</v>
      </c>
      <c r="G19" s="9" t="s">
        <v>612</v>
      </c>
      <c r="H19" s="9">
        <v>11.3102034477406</v>
      </c>
      <c r="I19" s="9">
        <v>39.739995087964097</v>
      </c>
      <c r="J19" s="18" t="s">
        <v>612</v>
      </c>
      <c r="K19" s="9" t="s">
        <v>612</v>
      </c>
      <c r="L19" s="9">
        <v>3.4570490676136099</v>
      </c>
      <c r="M19" s="9">
        <v>2.6276177670487599</v>
      </c>
      <c r="N19" s="9">
        <v>7.2613312330497397</v>
      </c>
      <c r="O19" s="18">
        <v>8.5513912860913308</v>
      </c>
      <c r="P19" s="18">
        <v>1342.8104294401401</v>
      </c>
      <c r="Q19" s="38" t="s">
        <v>626</v>
      </c>
    </row>
    <row r="20" spans="1:17" ht="24.95" customHeight="1" x14ac:dyDescent="0.2">
      <c r="A20" s="11" t="s">
        <v>193</v>
      </c>
      <c r="B20" s="9">
        <v>53.057982753704401</v>
      </c>
      <c r="C20" s="9">
        <v>148.55992026752699</v>
      </c>
      <c r="D20" s="9">
        <v>73.068892888610705</v>
      </c>
      <c r="E20" s="18">
        <v>2662.8976539240498</v>
      </c>
      <c r="F20" s="18">
        <v>5013.7131094594497</v>
      </c>
      <c r="G20" s="9">
        <v>4941.2961653235798</v>
      </c>
      <c r="H20" s="9">
        <v>2162.4187476174998</v>
      </c>
      <c r="I20" s="9">
        <v>1013.13065165543</v>
      </c>
      <c r="J20" s="18">
        <v>2757.6964941418701</v>
      </c>
      <c r="K20" s="9">
        <v>274.45376437772597</v>
      </c>
      <c r="L20" s="9">
        <v>29.894664851850301</v>
      </c>
      <c r="M20" s="9">
        <v>436.807343902394</v>
      </c>
      <c r="N20" s="9">
        <v>932.97340633303895</v>
      </c>
      <c r="O20" s="18">
        <v>856.09367779528998</v>
      </c>
      <c r="P20" s="18">
        <v>21356.062475292001</v>
      </c>
      <c r="Q20" s="2" t="s">
        <v>2</v>
      </c>
    </row>
    <row r="21" spans="1:17" ht="24.95" customHeight="1" x14ac:dyDescent="0.2">
      <c r="A21" s="11" t="s">
        <v>194</v>
      </c>
      <c r="B21" s="9">
        <v>24.432654857446298</v>
      </c>
      <c r="C21" s="9">
        <v>132.67347133145</v>
      </c>
      <c r="D21" s="9">
        <v>153.60171044384899</v>
      </c>
      <c r="E21" s="18">
        <v>2568.9566784675399</v>
      </c>
      <c r="F21" s="18">
        <v>8050.38723095763</v>
      </c>
      <c r="G21" s="9">
        <v>4354.9609128880702</v>
      </c>
      <c r="H21" s="9">
        <v>1913.9134735617799</v>
      </c>
      <c r="I21" s="9">
        <v>1044.6173212244801</v>
      </c>
      <c r="J21" s="18">
        <v>818.44694466419503</v>
      </c>
      <c r="K21" s="9">
        <v>462.322337814533</v>
      </c>
      <c r="L21" s="9">
        <v>37.491039511647301</v>
      </c>
      <c r="M21" s="9">
        <v>566.09456652346398</v>
      </c>
      <c r="N21" s="9">
        <v>372.145229550804</v>
      </c>
      <c r="O21" s="18">
        <v>421.82003388448697</v>
      </c>
      <c r="P21" s="18">
        <v>20921.863605681399</v>
      </c>
      <c r="Q21" s="2" t="s">
        <v>2</v>
      </c>
    </row>
    <row r="22" spans="1:17" ht="24.95" customHeight="1" x14ac:dyDescent="0.2">
      <c r="A22" s="11" t="s">
        <v>195</v>
      </c>
      <c r="B22" s="9" t="s">
        <v>612</v>
      </c>
      <c r="C22" s="9">
        <v>135.97384431807501</v>
      </c>
      <c r="D22" s="9">
        <v>224.89276854841299</v>
      </c>
      <c r="E22" s="18">
        <v>915.22528553702102</v>
      </c>
      <c r="F22" s="18">
        <v>931.12850848598202</v>
      </c>
      <c r="G22" s="9">
        <v>524.08189979241502</v>
      </c>
      <c r="H22" s="9">
        <v>146.98370282014801</v>
      </c>
      <c r="I22" s="9">
        <v>451.231086177691</v>
      </c>
      <c r="J22" s="18">
        <v>234.052130855461</v>
      </c>
      <c r="K22" s="9">
        <v>214.138177465962</v>
      </c>
      <c r="L22" s="9" t="s">
        <v>612</v>
      </c>
      <c r="M22" s="9">
        <v>475.19561670394398</v>
      </c>
      <c r="N22" s="9">
        <v>191.68539256842399</v>
      </c>
      <c r="O22" s="18">
        <v>345.84424325075798</v>
      </c>
      <c r="P22" s="18">
        <v>6342.4697584613004</v>
      </c>
      <c r="Q22" s="38" t="s">
        <v>621</v>
      </c>
    </row>
    <row r="23" spans="1:17" ht="24.95" customHeight="1" x14ac:dyDescent="0.25">
      <c r="A23" s="12" t="s">
        <v>197</v>
      </c>
      <c r="B23" s="10">
        <v>347.64754326687301</v>
      </c>
      <c r="C23" s="10">
        <v>5169.7875921330397</v>
      </c>
      <c r="D23" s="10">
        <v>876.94722629542696</v>
      </c>
      <c r="E23" s="19">
        <v>38967.2800250336</v>
      </c>
      <c r="F23" s="19">
        <v>180861.97642529401</v>
      </c>
      <c r="G23" s="10">
        <v>122537.46712962999</v>
      </c>
      <c r="H23" s="10">
        <v>50368.098274358999</v>
      </c>
      <c r="I23" s="10">
        <v>44849.984146314899</v>
      </c>
      <c r="J23" s="19">
        <v>69204.661532148006</v>
      </c>
      <c r="K23" s="10">
        <v>11590.1633183906</v>
      </c>
      <c r="L23" s="10">
        <v>3475.7584624815099</v>
      </c>
      <c r="M23" s="10">
        <v>8626.2900780046893</v>
      </c>
      <c r="N23" s="10">
        <v>9004.7282902024908</v>
      </c>
      <c r="O23" s="19">
        <v>20266.094310575099</v>
      </c>
      <c r="P23" s="19">
        <v>566146.88435413002</v>
      </c>
      <c r="Q23" s="6" t="s">
        <v>2</v>
      </c>
    </row>
    <row r="24" spans="1:17" ht="24.95" customHeight="1" x14ac:dyDescent="0.2">
      <c r="A24" s="11" t="s">
        <v>198</v>
      </c>
      <c r="B24" s="9">
        <v>619.28468200354598</v>
      </c>
      <c r="C24" s="9">
        <v>6695.4629979351203</v>
      </c>
      <c r="D24" s="9">
        <v>496.49951894183903</v>
      </c>
      <c r="E24" s="18">
        <v>12184.0377498942</v>
      </c>
      <c r="F24" s="18">
        <v>45741.998860849002</v>
      </c>
      <c r="G24" s="9">
        <v>18141.218348914299</v>
      </c>
      <c r="H24" s="9">
        <v>7162.7020242467497</v>
      </c>
      <c r="I24" s="9">
        <v>6077.9100503724003</v>
      </c>
      <c r="J24" s="18">
        <v>20450.293925639598</v>
      </c>
      <c r="K24" s="9">
        <v>4008.46284103691</v>
      </c>
      <c r="L24" s="9">
        <v>2812.3536765551898</v>
      </c>
      <c r="M24" s="9">
        <v>6494.7897179933998</v>
      </c>
      <c r="N24" s="9">
        <v>6063.9911331168196</v>
      </c>
      <c r="O24" s="18">
        <v>23026.424606871002</v>
      </c>
      <c r="P24" s="18">
        <v>159975.43013436999</v>
      </c>
      <c r="Q24" s="2" t="s">
        <v>2</v>
      </c>
    </row>
    <row r="25" spans="1:17" ht="24.95" customHeight="1" x14ac:dyDescent="0.2">
      <c r="A25" s="11" t="s">
        <v>199</v>
      </c>
      <c r="B25" s="9">
        <v>28652.885161729599</v>
      </c>
      <c r="C25" s="9">
        <v>44063.209259931798</v>
      </c>
      <c r="D25" s="9">
        <v>19890.124320787701</v>
      </c>
      <c r="E25" s="18">
        <v>118927.558420172</v>
      </c>
      <c r="F25" s="18">
        <v>146565.12871078201</v>
      </c>
      <c r="G25" s="9">
        <v>82672.629240105307</v>
      </c>
      <c r="H25" s="9">
        <v>25932.421080494201</v>
      </c>
      <c r="I25" s="9">
        <v>34840.831405312601</v>
      </c>
      <c r="J25" s="18">
        <v>111087.931883212</v>
      </c>
      <c r="K25" s="9">
        <v>45031.5542818225</v>
      </c>
      <c r="L25" s="9">
        <v>60113.2186324633</v>
      </c>
      <c r="M25" s="9">
        <v>91316.433257914396</v>
      </c>
      <c r="N25" s="9">
        <v>101769.208012968</v>
      </c>
      <c r="O25" s="18">
        <v>200293.01004829101</v>
      </c>
      <c r="P25" s="18">
        <v>1111156.14371599</v>
      </c>
      <c r="Q25" s="2" t="s">
        <v>2</v>
      </c>
    </row>
    <row r="26" spans="1:17" ht="24.95" customHeight="1" x14ac:dyDescent="0.2">
      <c r="A26" s="11" t="s">
        <v>202</v>
      </c>
      <c r="B26" s="9">
        <v>42921.07</v>
      </c>
      <c r="C26" s="9">
        <v>24034.97</v>
      </c>
      <c r="D26" s="9">
        <v>27736.54</v>
      </c>
      <c r="E26" s="18">
        <v>1207461.3799999999</v>
      </c>
      <c r="F26" s="18">
        <v>209933.64</v>
      </c>
      <c r="G26" s="9">
        <v>295229.75</v>
      </c>
      <c r="H26" s="9">
        <v>2694.91</v>
      </c>
      <c r="I26" s="9">
        <v>26205.33</v>
      </c>
      <c r="J26" s="18">
        <v>130659.43</v>
      </c>
      <c r="K26" s="9">
        <v>101196.88</v>
      </c>
      <c r="L26" s="9">
        <v>313535.90000000002</v>
      </c>
      <c r="M26" s="9">
        <v>67798.8</v>
      </c>
      <c r="N26" s="9">
        <v>84346.5</v>
      </c>
      <c r="O26" s="18">
        <v>146038.85</v>
      </c>
      <c r="P26" s="18">
        <v>2679793.9500000002</v>
      </c>
      <c r="Q26" s="2" t="s">
        <v>2</v>
      </c>
    </row>
    <row r="27" spans="1:17" ht="24.95" customHeight="1" x14ac:dyDescent="0.25">
      <c r="A27" s="12" t="s">
        <v>446</v>
      </c>
      <c r="B27" s="10">
        <v>72193.239843733099</v>
      </c>
      <c r="C27" s="10">
        <v>74793.642257867003</v>
      </c>
      <c r="D27" s="10">
        <v>48123.163839729597</v>
      </c>
      <c r="E27" s="19">
        <v>1338572.97617007</v>
      </c>
      <c r="F27" s="19">
        <v>402240.767571631</v>
      </c>
      <c r="G27" s="10">
        <v>396043.59758901998</v>
      </c>
      <c r="H27" s="10">
        <v>35790.033104741</v>
      </c>
      <c r="I27" s="10">
        <v>67124.071455685102</v>
      </c>
      <c r="J27" s="19">
        <v>262197.655808852</v>
      </c>
      <c r="K27" s="10">
        <v>150236.89712285899</v>
      </c>
      <c r="L27" s="10">
        <v>376461.47230901802</v>
      </c>
      <c r="M27" s="10">
        <v>165610.02297590801</v>
      </c>
      <c r="N27" s="10">
        <v>192179.69914608501</v>
      </c>
      <c r="O27" s="19">
        <v>369358.28465516202</v>
      </c>
      <c r="P27" s="19">
        <v>3950925.52385036</v>
      </c>
      <c r="Q27" s="6" t="s">
        <v>2</v>
      </c>
    </row>
    <row r="28" spans="1:17" ht="24.95" customHeight="1" x14ac:dyDescent="0.2">
      <c r="A28" s="11" t="s">
        <v>423</v>
      </c>
      <c r="B28" s="9">
        <v>72540.887386999995</v>
      </c>
      <c r="C28" s="9">
        <v>79963.42985</v>
      </c>
      <c r="D28" s="9">
        <v>49000.111066024998</v>
      </c>
      <c r="E28" s="18">
        <v>1377540.2561951</v>
      </c>
      <c r="F28" s="18">
        <v>583102.74399692495</v>
      </c>
      <c r="G28" s="9">
        <v>518581.06471865001</v>
      </c>
      <c r="H28" s="9">
        <v>86158.131379099999</v>
      </c>
      <c r="I28" s="9">
        <v>111974.05560199999</v>
      </c>
      <c r="J28" s="18">
        <v>331402.31734100002</v>
      </c>
      <c r="K28" s="9">
        <v>161827.06044125001</v>
      </c>
      <c r="L28" s="9">
        <v>379937.23077149998</v>
      </c>
      <c r="M28" s="9">
        <v>174236.31305391301</v>
      </c>
      <c r="N28" s="9">
        <v>201184.42743628699</v>
      </c>
      <c r="O28" s="18">
        <v>389624.37896573701</v>
      </c>
      <c r="P28" s="18">
        <v>4517072.4082044903</v>
      </c>
      <c r="Q28" s="38" t="s">
        <v>463</v>
      </c>
    </row>
    <row r="29" spans="1:17" ht="24.95" customHeight="1" x14ac:dyDescent="0.2">
      <c r="A29" s="67" t="s">
        <v>203</v>
      </c>
      <c r="B29" s="9">
        <v>892.63</v>
      </c>
      <c r="C29" s="9" t="s">
        <v>612</v>
      </c>
      <c r="D29" s="9" t="s">
        <v>612</v>
      </c>
      <c r="E29" s="18">
        <v>262453.28000000003</v>
      </c>
      <c r="F29" s="18">
        <v>85363.15</v>
      </c>
      <c r="G29" s="9">
        <v>60209.289999999994</v>
      </c>
      <c r="H29" s="9">
        <v>7633.68</v>
      </c>
      <c r="I29" s="9">
        <v>13784.56</v>
      </c>
      <c r="J29" s="18">
        <v>38787.35</v>
      </c>
      <c r="K29" s="9">
        <v>19688.21</v>
      </c>
      <c r="L29" s="9">
        <v>55501.94</v>
      </c>
      <c r="M29" s="9">
        <v>21486.7</v>
      </c>
      <c r="N29" s="9">
        <v>23101.629999999997</v>
      </c>
      <c r="O29" s="18">
        <v>49783.1</v>
      </c>
      <c r="P29" s="18">
        <v>645488.05999999994</v>
      </c>
      <c r="Q29" s="38" t="s">
        <v>622</v>
      </c>
    </row>
    <row r="30" spans="1:17" ht="24.95" customHeight="1" x14ac:dyDescent="0.25">
      <c r="A30" s="12" t="s">
        <v>204</v>
      </c>
      <c r="B30" s="10">
        <v>73433.517387</v>
      </c>
      <c r="C30" s="10">
        <v>80438.919850000006</v>
      </c>
      <c r="D30" s="10">
        <v>55327.161066025001</v>
      </c>
      <c r="E30" s="19">
        <v>1639993.5361951001</v>
      </c>
      <c r="F30" s="19">
        <v>668465.89399692498</v>
      </c>
      <c r="G30" s="10">
        <v>578790.35471864999</v>
      </c>
      <c r="H30" s="10">
        <v>93791.811379100007</v>
      </c>
      <c r="I30" s="10">
        <v>125758.61560200001</v>
      </c>
      <c r="J30" s="19">
        <v>370189.66734099999</v>
      </c>
      <c r="K30" s="10">
        <v>181515.27044125</v>
      </c>
      <c r="L30" s="10">
        <v>435439.17077149998</v>
      </c>
      <c r="M30" s="10">
        <v>195723.013053912</v>
      </c>
      <c r="N30" s="10">
        <v>224286.057436287</v>
      </c>
      <c r="O30" s="19">
        <v>439407.47896573797</v>
      </c>
      <c r="P30" s="19">
        <v>5162560.4682044899</v>
      </c>
      <c r="Q30" s="6" t="s">
        <v>2</v>
      </c>
    </row>
    <row r="31" spans="1:17" ht="24.95" customHeight="1" x14ac:dyDescent="0.2">
      <c r="A31" s="11" t="s">
        <v>205</v>
      </c>
      <c r="B31" s="9">
        <v>67034.78</v>
      </c>
      <c r="C31" s="9">
        <v>2110.71</v>
      </c>
      <c r="D31" s="9">
        <v>210785.38</v>
      </c>
      <c r="E31" s="18">
        <v>283430.23</v>
      </c>
      <c r="F31" s="18">
        <v>5013.3999999999996</v>
      </c>
      <c r="G31" s="9">
        <v>2006</v>
      </c>
      <c r="H31" s="9">
        <v>0</v>
      </c>
      <c r="I31" s="9">
        <v>0</v>
      </c>
      <c r="J31" s="18">
        <v>0</v>
      </c>
      <c r="K31" s="9">
        <v>0</v>
      </c>
      <c r="L31" s="9">
        <v>8879.07</v>
      </c>
      <c r="M31" s="9">
        <v>157.80000000000001</v>
      </c>
      <c r="N31" s="9">
        <v>1180.3</v>
      </c>
      <c r="O31" s="18">
        <v>0</v>
      </c>
      <c r="P31" s="18">
        <v>580597.67000000004</v>
      </c>
      <c r="Q31" s="38"/>
    </row>
    <row r="32" spans="1:17" ht="24.95" customHeight="1" thickBot="1" x14ac:dyDescent="0.3">
      <c r="A32" s="30" t="s">
        <v>464</v>
      </c>
      <c r="B32" s="10">
        <v>140468.297387</v>
      </c>
      <c r="C32" s="10">
        <v>82549.629850000012</v>
      </c>
      <c r="D32" s="10">
        <v>266112.54106602503</v>
      </c>
      <c r="E32" s="10">
        <v>1923423.7661951</v>
      </c>
      <c r="F32" s="22">
        <v>673479.293996925</v>
      </c>
      <c r="G32" s="10">
        <v>580796.35471864999</v>
      </c>
      <c r="H32" s="10">
        <v>93791.811379100007</v>
      </c>
      <c r="I32" s="10">
        <v>125758.61560200001</v>
      </c>
      <c r="J32" s="19">
        <v>370189.66734099999</v>
      </c>
      <c r="K32" s="10">
        <v>181515.27044125</v>
      </c>
      <c r="L32" s="10">
        <v>444318.24077149999</v>
      </c>
      <c r="M32" s="10">
        <v>195880.81305391199</v>
      </c>
      <c r="N32" s="10">
        <v>225466.35743628698</v>
      </c>
      <c r="O32" s="10">
        <v>439407.47896573797</v>
      </c>
      <c r="P32" s="22">
        <v>5743158.1382044898</v>
      </c>
      <c r="Q32" s="6" t="s">
        <v>465</v>
      </c>
    </row>
    <row r="34" spans="2:16" x14ac:dyDescent="0.2">
      <c r="B34" s="54"/>
      <c r="C34" s="54"/>
      <c r="D34" s="54"/>
      <c r="E34" s="54"/>
      <c r="F34" s="54"/>
      <c r="G34" s="54"/>
      <c r="H34" s="54"/>
      <c r="I34" s="54"/>
      <c r="J34" s="54"/>
      <c r="K34" s="54"/>
      <c r="L34" s="54"/>
      <c r="M34" s="54"/>
      <c r="N34" s="54"/>
      <c r="O34" s="54"/>
      <c r="P34" s="54"/>
    </row>
  </sheetData>
  <hyperlinks>
    <hyperlink ref="A5" r:id="rId1" xr:uid="{00000000-0004-0000-1200-000000000000}"/>
  </hyperlinks>
  <pageMargins left="0.7" right="0.7" top="0.75" bottom="0.75" header="0.3" footer="0.3"/>
  <pageSetup paperSize="9" orientation="portrait" horizontalDpi="300" verticalDpi="300"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6"/>
  <sheetViews>
    <sheetView showGridLines="0" zoomScaleNormal="100" workbookViewId="0"/>
  </sheetViews>
  <sheetFormatPr defaultColWidth="11.5546875" defaultRowHeight="15" x14ac:dyDescent="0.2"/>
  <cols>
    <col min="1" max="1" width="50.6640625" customWidth="1"/>
    <col min="2" max="16" width="15.6640625" customWidth="1"/>
    <col min="17" max="17" width="50.5546875" customWidth="1"/>
    <col min="18" max="100" width="15.6640625" customWidth="1"/>
  </cols>
  <sheetData>
    <row r="1" spans="1:17" ht="20.25" x14ac:dyDescent="0.3">
      <c r="A1" s="4" t="s">
        <v>599</v>
      </c>
    </row>
    <row r="2" spans="1:17" x14ac:dyDescent="0.2">
      <c r="A2" t="s">
        <v>37</v>
      </c>
    </row>
    <row r="3" spans="1:17" x14ac:dyDescent="0.2">
      <c r="A3" t="s">
        <v>139</v>
      </c>
    </row>
    <row r="4" spans="1:17" x14ac:dyDescent="0.2">
      <c r="A4" s="7" t="str">
        <f>HYPERLINK("#Notes!A1", "Link to Notes table")</f>
        <v>Link to Notes table</v>
      </c>
    </row>
    <row r="5" spans="1:17" ht="15.75" thickBot="1" x14ac:dyDescent="0.25">
      <c r="A5" s="7" t="s">
        <v>140</v>
      </c>
    </row>
    <row r="6" spans="1:17" ht="79.5" thickBot="1" x14ac:dyDescent="0.3">
      <c r="A6" s="14" t="s">
        <v>308</v>
      </c>
      <c r="B6" s="15" t="s">
        <v>427</v>
      </c>
      <c r="C6" s="15" t="s">
        <v>428</v>
      </c>
      <c r="D6" s="15" t="s">
        <v>429</v>
      </c>
      <c r="E6" s="17" t="s">
        <v>430</v>
      </c>
      <c r="F6" s="20" t="s">
        <v>431</v>
      </c>
      <c r="G6" s="15" t="s">
        <v>432</v>
      </c>
      <c r="H6" s="15" t="s">
        <v>433</v>
      </c>
      <c r="I6" s="15" t="s">
        <v>434</v>
      </c>
      <c r="J6" s="17" t="s">
        <v>435</v>
      </c>
      <c r="K6" s="15" t="s">
        <v>436</v>
      </c>
      <c r="L6" s="15" t="s">
        <v>437</v>
      </c>
      <c r="M6" s="15" t="s">
        <v>438</v>
      </c>
      <c r="N6" s="15" t="s">
        <v>439</v>
      </c>
      <c r="O6" s="17" t="s">
        <v>440</v>
      </c>
      <c r="P6" s="20" t="s">
        <v>441</v>
      </c>
      <c r="Q6" s="16" t="s">
        <v>156</v>
      </c>
    </row>
    <row r="7" spans="1:17" ht="24.95" customHeight="1" x14ac:dyDescent="0.2">
      <c r="A7" s="11" t="s">
        <v>254</v>
      </c>
      <c r="B7" s="9" t="s">
        <v>612</v>
      </c>
      <c r="C7" s="9">
        <v>11</v>
      </c>
      <c r="D7" s="9">
        <v>0</v>
      </c>
      <c r="E7" s="18" t="s">
        <v>612</v>
      </c>
      <c r="F7" s="21">
        <v>53</v>
      </c>
      <c r="G7" s="9">
        <v>15</v>
      </c>
      <c r="H7" s="9">
        <v>24</v>
      </c>
      <c r="I7" s="9">
        <v>20</v>
      </c>
      <c r="J7" s="18">
        <v>26</v>
      </c>
      <c r="K7" s="9">
        <v>35</v>
      </c>
      <c r="L7" s="9">
        <v>46</v>
      </c>
      <c r="M7" s="9">
        <v>108</v>
      </c>
      <c r="N7" s="9">
        <v>213</v>
      </c>
      <c r="O7" s="18">
        <v>324</v>
      </c>
      <c r="P7" s="21">
        <v>896</v>
      </c>
      <c r="Q7" s="38" t="s">
        <v>466</v>
      </c>
    </row>
    <row r="8" spans="1:17" ht="24.95" customHeight="1" x14ac:dyDescent="0.2">
      <c r="A8" s="11" t="s">
        <v>255</v>
      </c>
      <c r="B8" s="9" t="s">
        <v>612</v>
      </c>
      <c r="C8" s="9">
        <v>31</v>
      </c>
      <c r="D8" s="9" t="s">
        <v>612</v>
      </c>
      <c r="E8" s="18">
        <v>75</v>
      </c>
      <c r="F8" s="21">
        <v>129</v>
      </c>
      <c r="G8" s="9">
        <v>51</v>
      </c>
      <c r="H8" s="9">
        <v>35</v>
      </c>
      <c r="I8" s="9">
        <v>38</v>
      </c>
      <c r="J8" s="18">
        <v>41</v>
      </c>
      <c r="K8" s="9">
        <v>56</v>
      </c>
      <c r="L8" s="9">
        <v>68</v>
      </c>
      <c r="M8" s="9">
        <v>176</v>
      </c>
      <c r="N8" s="9">
        <v>255</v>
      </c>
      <c r="O8" s="18">
        <v>401</v>
      </c>
      <c r="P8" s="21">
        <v>1375</v>
      </c>
      <c r="Q8" s="38" t="s">
        <v>467</v>
      </c>
    </row>
    <row r="9" spans="1:17" ht="24.95" customHeight="1" x14ac:dyDescent="0.2">
      <c r="A9" s="11" t="s">
        <v>256</v>
      </c>
      <c r="B9" s="9" t="s">
        <v>612</v>
      </c>
      <c r="C9" s="9">
        <v>15</v>
      </c>
      <c r="D9" s="9" t="s">
        <v>612</v>
      </c>
      <c r="E9" s="18">
        <v>23</v>
      </c>
      <c r="F9" s="21">
        <v>53</v>
      </c>
      <c r="G9" s="9">
        <v>20</v>
      </c>
      <c r="H9" s="9">
        <v>23</v>
      </c>
      <c r="I9" s="9">
        <v>21</v>
      </c>
      <c r="J9" s="18">
        <v>25</v>
      </c>
      <c r="K9" s="9">
        <v>37</v>
      </c>
      <c r="L9" s="9">
        <v>44</v>
      </c>
      <c r="M9" s="9">
        <v>121</v>
      </c>
      <c r="N9" s="9">
        <v>228</v>
      </c>
      <c r="O9" s="18">
        <v>342</v>
      </c>
      <c r="P9" s="21">
        <v>959</v>
      </c>
      <c r="Q9" s="38" t="s">
        <v>467</v>
      </c>
    </row>
    <row r="10" spans="1:17" ht="24.95" customHeight="1" x14ac:dyDescent="0.25">
      <c r="A10" s="12" t="s">
        <v>257</v>
      </c>
      <c r="B10" s="10" t="s">
        <v>612</v>
      </c>
      <c r="C10" s="10">
        <v>34</v>
      </c>
      <c r="D10" s="10" t="s">
        <v>612</v>
      </c>
      <c r="E10" s="19">
        <v>89</v>
      </c>
      <c r="F10" s="22">
        <v>169</v>
      </c>
      <c r="G10" s="10">
        <v>52</v>
      </c>
      <c r="H10" s="10">
        <v>44</v>
      </c>
      <c r="I10" s="10">
        <v>41</v>
      </c>
      <c r="J10" s="19">
        <v>56</v>
      </c>
      <c r="K10" s="10">
        <v>61</v>
      </c>
      <c r="L10" s="10">
        <v>74</v>
      </c>
      <c r="M10" s="10">
        <v>195</v>
      </c>
      <c r="N10" s="10">
        <v>280</v>
      </c>
      <c r="O10" s="19">
        <v>441</v>
      </c>
      <c r="P10" s="22">
        <v>1559</v>
      </c>
      <c r="Q10" s="6" t="s">
        <v>2</v>
      </c>
    </row>
    <row r="11" spans="1:17" ht="24.95" customHeight="1" x14ac:dyDescent="0.2">
      <c r="A11" s="11" t="s">
        <v>258</v>
      </c>
      <c r="B11" s="9">
        <v>74</v>
      </c>
      <c r="C11" s="9">
        <v>399</v>
      </c>
      <c r="D11" s="9">
        <v>125</v>
      </c>
      <c r="E11" s="18">
        <v>917</v>
      </c>
      <c r="F11" s="21">
        <v>1287</v>
      </c>
      <c r="G11" s="9">
        <v>474</v>
      </c>
      <c r="H11" s="9">
        <v>187</v>
      </c>
      <c r="I11" s="9">
        <v>170</v>
      </c>
      <c r="J11" s="18">
        <v>464</v>
      </c>
      <c r="K11" s="9">
        <v>232</v>
      </c>
      <c r="L11" s="9">
        <v>397</v>
      </c>
      <c r="M11" s="9">
        <v>550</v>
      </c>
      <c r="N11" s="9">
        <v>610</v>
      </c>
      <c r="O11" s="18">
        <v>1061</v>
      </c>
      <c r="P11" s="21">
        <v>6947</v>
      </c>
      <c r="Q11" s="2" t="s">
        <v>2</v>
      </c>
    </row>
    <row r="12" spans="1:17" ht="24.95" customHeight="1" x14ac:dyDescent="0.2">
      <c r="A12" s="11" t="s">
        <v>259</v>
      </c>
      <c r="B12" s="9">
        <v>117</v>
      </c>
      <c r="C12" s="9">
        <v>422</v>
      </c>
      <c r="D12" s="9">
        <v>286</v>
      </c>
      <c r="E12" s="18">
        <v>1347</v>
      </c>
      <c r="F12" s="21">
        <v>1238</v>
      </c>
      <c r="G12" s="9">
        <v>508</v>
      </c>
      <c r="H12" s="9">
        <v>186</v>
      </c>
      <c r="I12" s="9">
        <v>175</v>
      </c>
      <c r="J12" s="18">
        <v>457</v>
      </c>
      <c r="K12" s="9">
        <v>261</v>
      </c>
      <c r="L12" s="9">
        <v>501</v>
      </c>
      <c r="M12" s="9">
        <v>555</v>
      </c>
      <c r="N12" s="9">
        <v>552</v>
      </c>
      <c r="O12" s="18">
        <v>1002</v>
      </c>
      <c r="P12" s="21">
        <v>7607</v>
      </c>
      <c r="Q12" s="2" t="s">
        <v>2</v>
      </c>
    </row>
    <row r="13" spans="1:17" ht="24.95" customHeight="1" x14ac:dyDescent="0.2">
      <c r="A13" s="11" t="s">
        <v>260</v>
      </c>
      <c r="B13" s="9">
        <v>66</v>
      </c>
      <c r="C13" s="9">
        <v>355</v>
      </c>
      <c r="D13" s="9">
        <v>143</v>
      </c>
      <c r="E13" s="18">
        <v>985</v>
      </c>
      <c r="F13" s="21">
        <v>1219</v>
      </c>
      <c r="G13" s="9">
        <v>449</v>
      </c>
      <c r="H13" s="9">
        <v>180</v>
      </c>
      <c r="I13" s="9">
        <v>175</v>
      </c>
      <c r="J13" s="18">
        <v>420</v>
      </c>
      <c r="K13" s="9">
        <v>220</v>
      </c>
      <c r="L13" s="9">
        <v>398</v>
      </c>
      <c r="M13" s="9">
        <v>515</v>
      </c>
      <c r="N13" s="9">
        <v>553</v>
      </c>
      <c r="O13" s="18">
        <v>938</v>
      </c>
      <c r="P13" s="21">
        <v>6616</v>
      </c>
      <c r="Q13" s="2" t="s">
        <v>2</v>
      </c>
    </row>
    <row r="14" spans="1:17" ht="24.95" customHeight="1" x14ac:dyDescent="0.25">
      <c r="A14" s="12" t="s">
        <v>261</v>
      </c>
      <c r="B14" s="10">
        <v>122</v>
      </c>
      <c r="C14" s="10">
        <v>456</v>
      </c>
      <c r="D14" s="10">
        <v>312</v>
      </c>
      <c r="E14" s="19">
        <v>1478</v>
      </c>
      <c r="F14" s="22">
        <v>1556</v>
      </c>
      <c r="G14" s="10">
        <v>577</v>
      </c>
      <c r="H14" s="10">
        <v>229</v>
      </c>
      <c r="I14" s="10">
        <v>210</v>
      </c>
      <c r="J14" s="19">
        <v>526</v>
      </c>
      <c r="K14" s="10">
        <v>304</v>
      </c>
      <c r="L14" s="10">
        <v>541</v>
      </c>
      <c r="M14" s="10">
        <v>667</v>
      </c>
      <c r="N14" s="10">
        <v>721</v>
      </c>
      <c r="O14" s="19">
        <v>1239</v>
      </c>
      <c r="P14" s="22">
        <v>8938</v>
      </c>
      <c r="Q14" s="6" t="s">
        <v>2</v>
      </c>
    </row>
    <row r="15" spans="1:17" ht="24.95" customHeight="1" x14ac:dyDescent="0.2">
      <c r="A15" s="11" t="s">
        <v>262</v>
      </c>
      <c r="B15" s="9">
        <v>55</v>
      </c>
      <c r="C15" s="9">
        <v>382</v>
      </c>
      <c r="D15" s="9">
        <v>53</v>
      </c>
      <c r="E15" s="18">
        <v>635</v>
      </c>
      <c r="F15" s="21">
        <v>1279</v>
      </c>
      <c r="G15" s="9">
        <v>407</v>
      </c>
      <c r="H15" s="9">
        <v>178</v>
      </c>
      <c r="I15" s="9">
        <v>158</v>
      </c>
      <c r="J15" s="18">
        <v>410</v>
      </c>
      <c r="K15" s="9">
        <v>206</v>
      </c>
      <c r="L15" s="9">
        <v>259</v>
      </c>
      <c r="M15" s="9">
        <v>516</v>
      </c>
      <c r="N15" s="9">
        <v>578</v>
      </c>
      <c r="O15" s="18">
        <v>988</v>
      </c>
      <c r="P15" s="21">
        <v>6104</v>
      </c>
      <c r="Q15" s="2" t="s">
        <v>2</v>
      </c>
    </row>
    <row r="16" spans="1:17" ht="24.95" customHeight="1" x14ac:dyDescent="0.2">
      <c r="A16" s="11" t="s">
        <v>263</v>
      </c>
      <c r="B16" s="9">
        <v>97</v>
      </c>
      <c r="C16" s="9">
        <v>372</v>
      </c>
      <c r="D16" s="9">
        <v>116</v>
      </c>
      <c r="E16" s="18">
        <v>949</v>
      </c>
      <c r="F16" s="21">
        <v>1304</v>
      </c>
      <c r="G16" s="9">
        <v>491</v>
      </c>
      <c r="H16" s="9">
        <v>199</v>
      </c>
      <c r="I16" s="9">
        <v>183</v>
      </c>
      <c r="J16" s="18">
        <v>453</v>
      </c>
      <c r="K16" s="9">
        <v>253</v>
      </c>
      <c r="L16" s="9">
        <v>403</v>
      </c>
      <c r="M16" s="9">
        <v>550</v>
      </c>
      <c r="N16" s="9">
        <v>606</v>
      </c>
      <c r="O16" s="18">
        <v>1079</v>
      </c>
      <c r="P16" s="21">
        <v>7055</v>
      </c>
      <c r="Q16" s="2" t="s">
        <v>2</v>
      </c>
    </row>
    <row r="17" spans="1:17" ht="24.95" customHeight="1" x14ac:dyDescent="0.25">
      <c r="A17" s="12" t="s">
        <v>264</v>
      </c>
      <c r="B17" s="10">
        <v>112</v>
      </c>
      <c r="C17" s="10">
        <v>425</v>
      </c>
      <c r="D17" s="10">
        <v>148</v>
      </c>
      <c r="E17" s="19">
        <v>1096</v>
      </c>
      <c r="F17" s="22">
        <v>1543</v>
      </c>
      <c r="G17" s="10">
        <v>552</v>
      </c>
      <c r="H17" s="10">
        <v>223</v>
      </c>
      <c r="I17" s="10">
        <v>200</v>
      </c>
      <c r="J17" s="19">
        <v>488</v>
      </c>
      <c r="K17" s="10">
        <v>280</v>
      </c>
      <c r="L17" s="10">
        <v>428</v>
      </c>
      <c r="M17" s="10">
        <v>642</v>
      </c>
      <c r="N17" s="10">
        <v>690</v>
      </c>
      <c r="O17" s="19">
        <v>1214</v>
      </c>
      <c r="P17" s="22">
        <v>8041</v>
      </c>
      <c r="Q17" s="6" t="s">
        <v>2</v>
      </c>
    </row>
    <row r="18" spans="1:17" ht="24.95" customHeight="1" x14ac:dyDescent="0.2">
      <c r="A18" s="11" t="s">
        <v>265</v>
      </c>
      <c r="B18" s="9" t="s">
        <v>612</v>
      </c>
      <c r="C18" s="9" t="s">
        <v>612</v>
      </c>
      <c r="D18" s="9">
        <v>0</v>
      </c>
      <c r="E18" s="18">
        <v>16</v>
      </c>
      <c r="F18" s="21">
        <v>36</v>
      </c>
      <c r="G18" s="9">
        <v>22</v>
      </c>
      <c r="H18" s="9">
        <v>20</v>
      </c>
      <c r="I18" s="9">
        <v>22</v>
      </c>
      <c r="J18" s="18">
        <v>20</v>
      </c>
      <c r="K18" s="9">
        <v>32</v>
      </c>
      <c r="L18" s="9">
        <v>40</v>
      </c>
      <c r="M18" s="9">
        <v>105</v>
      </c>
      <c r="N18" s="9">
        <v>206</v>
      </c>
      <c r="O18" s="18">
        <v>320</v>
      </c>
      <c r="P18" s="21">
        <v>854</v>
      </c>
      <c r="Q18" s="38" t="s">
        <v>445</v>
      </c>
    </row>
    <row r="19" spans="1:17" ht="24.95" customHeight="1" x14ac:dyDescent="0.2">
      <c r="A19" s="11" t="s">
        <v>266</v>
      </c>
      <c r="B19" s="9">
        <v>97</v>
      </c>
      <c r="C19" s="9">
        <v>405</v>
      </c>
      <c r="D19" s="9">
        <v>228</v>
      </c>
      <c r="E19" s="18">
        <v>1132</v>
      </c>
      <c r="F19" s="21">
        <v>1265</v>
      </c>
      <c r="G19" s="9">
        <v>480</v>
      </c>
      <c r="H19" s="9">
        <v>179</v>
      </c>
      <c r="I19" s="9">
        <v>178</v>
      </c>
      <c r="J19" s="18">
        <v>470</v>
      </c>
      <c r="K19" s="9">
        <v>253</v>
      </c>
      <c r="L19" s="9">
        <v>463</v>
      </c>
      <c r="M19" s="9">
        <v>590</v>
      </c>
      <c r="N19" s="9">
        <v>660</v>
      </c>
      <c r="O19" s="18">
        <v>1162</v>
      </c>
      <c r="P19" s="21">
        <v>7562</v>
      </c>
      <c r="Q19" s="2"/>
    </row>
    <row r="20" spans="1:17" ht="24.95" customHeight="1" x14ac:dyDescent="0.2">
      <c r="A20" s="11" t="s">
        <v>267</v>
      </c>
      <c r="B20" s="9">
        <v>110</v>
      </c>
      <c r="C20" s="9">
        <v>411</v>
      </c>
      <c r="D20" s="9">
        <v>216</v>
      </c>
      <c r="E20" s="18">
        <v>1117</v>
      </c>
      <c r="F20" s="21">
        <v>1342</v>
      </c>
      <c r="G20" s="9">
        <v>497</v>
      </c>
      <c r="H20" s="9">
        <v>191</v>
      </c>
      <c r="I20" s="9">
        <v>175</v>
      </c>
      <c r="J20" s="18">
        <v>472</v>
      </c>
      <c r="K20" s="9">
        <v>262</v>
      </c>
      <c r="L20" s="9">
        <v>466</v>
      </c>
      <c r="M20" s="9">
        <v>607</v>
      </c>
      <c r="N20" s="9">
        <v>677</v>
      </c>
      <c r="O20" s="18">
        <v>1179</v>
      </c>
      <c r="P20" s="21">
        <v>7722</v>
      </c>
      <c r="Q20" s="2" t="s">
        <v>2</v>
      </c>
    </row>
    <row r="21" spans="1:17" ht="24.95" customHeight="1" x14ac:dyDescent="0.25">
      <c r="A21" s="12" t="s">
        <v>268</v>
      </c>
      <c r="B21" s="10">
        <v>113</v>
      </c>
      <c r="C21" s="10">
        <v>423</v>
      </c>
      <c r="D21" s="10">
        <v>256</v>
      </c>
      <c r="E21" s="19">
        <v>1229</v>
      </c>
      <c r="F21" s="22">
        <v>1423</v>
      </c>
      <c r="G21" s="10">
        <v>514</v>
      </c>
      <c r="H21" s="10">
        <v>201</v>
      </c>
      <c r="I21" s="10">
        <v>192</v>
      </c>
      <c r="J21" s="19">
        <v>490</v>
      </c>
      <c r="K21" s="10">
        <v>269</v>
      </c>
      <c r="L21" s="10">
        <v>481</v>
      </c>
      <c r="M21" s="10">
        <v>634</v>
      </c>
      <c r="N21" s="10">
        <v>703</v>
      </c>
      <c r="O21" s="19">
        <v>1220</v>
      </c>
      <c r="P21" s="22">
        <v>8148</v>
      </c>
      <c r="Q21" s="6" t="s">
        <v>2</v>
      </c>
    </row>
    <row r="22" spans="1:17" ht="24.95" customHeight="1" x14ac:dyDescent="0.25">
      <c r="A22" s="12" t="s">
        <v>269</v>
      </c>
      <c r="B22" s="10">
        <v>135</v>
      </c>
      <c r="C22" s="10">
        <v>472</v>
      </c>
      <c r="D22" s="10">
        <v>320</v>
      </c>
      <c r="E22" s="19">
        <v>1567</v>
      </c>
      <c r="F22" s="22">
        <v>1755</v>
      </c>
      <c r="G22" s="10">
        <v>625</v>
      </c>
      <c r="H22" s="10">
        <v>249</v>
      </c>
      <c r="I22" s="10">
        <v>231</v>
      </c>
      <c r="J22" s="19">
        <v>554</v>
      </c>
      <c r="K22" s="10">
        <v>340</v>
      </c>
      <c r="L22" s="10">
        <v>560</v>
      </c>
      <c r="M22" s="10">
        <v>736</v>
      </c>
      <c r="N22" s="10">
        <v>788</v>
      </c>
      <c r="O22" s="19">
        <v>1375</v>
      </c>
      <c r="P22" s="22">
        <v>9707</v>
      </c>
      <c r="Q22" s="6" t="s">
        <v>2</v>
      </c>
    </row>
    <row r="23" spans="1:17" ht="24.95" customHeight="1" x14ac:dyDescent="0.2">
      <c r="A23" s="11" t="s">
        <v>272</v>
      </c>
      <c r="B23" s="9">
        <v>1166</v>
      </c>
      <c r="C23" s="9">
        <v>509</v>
      </c>
      <c r="D23" s="9">
        <v>2375</v>
      </c>
      <c r="E23" s="18">
        <v>3145</v>
      </c>
      <c r="F23" s="21">
        <v>1709</v>
      </c>
      <c r="G23" s="9">
        <v>752</v>
      </c>
      <c r="H23" s="9">
        <v>235</v>
      </c>
      <c r="I23" s="9">
        <v>297</v>
      </c>
      <c r="J23" s="18">
        <v>885</v>
      </c>
      <c r="K23" s="9">
        <v>373</v>
      </c>
      <c r="L23" s="9">
        <v>803</v>
      </c>
      <c r="M23" s="9">
        <v>776</v>
      </c>
      <c r="N23" s="9">
        <v>685</v>
      </c>
      <c r="O23" s="18">
        <v>1351</v>
      </c>
      <c r="P23" s="21">
        <v>15061</v>
      </c>
      <c r="Q23" s="2" t="s">
        <v>2</v>
      </c>
    </row>
    <row r="24" spans="1:17" ht="24.95" customHeight="1" x14ac:dyDescent="0.2">
      <c r="A24" s="11" t="s">
        <v>274</v>
      </c>
      <c r="B24" s="9">
        <v>809</v>
      </c>
      <c r="C24" s="9">
        <v>351</v>
      </c>
      <c r="D24" s="9">
        <v>1581</v>
      </c>
      <c r="E24" s="18">
        <v>2306</v>
      </c>
      <c r="F24" s="21">
        <v>1045</v>
      </c>
      <c r="G24" s="9">
        <v>515</v>
      </c>
      <c r="H24" s="9">
        <v>154</v>
      </c>
      <c r="I24" s="9">
        <v>205</v>
      </c>
      <c r="J24" s="18">
        <v>637</v>
      </c>
      <c r="K24" s="9">
        <v>245</v>
      </c>
      <c r="L24" s="9">
        <v>577</v>
      </c>
      <c r="M24" s="9">
        <v>521</v>
      </c>
      <c r="N24" s="9">
        <v>474</v>
      </c>
      <c r="O24" s="18">
        <v>928</v>
      </c>
      <c r="P24" s="21">
        <v>10348</v>
      </c>
      <c r="Q24" s="2" t="s">
        <v>2</v>
      </c>
    </row>
    <row r="25" spans="1:17" ht="24.95" customHeight="1" x14ac:dyDescent="0.2">
      <c r="A25" s="11" t="s">
        <v>273</v>
      </c>
      <c r="B25" s="9">
        <v>832</v>
      </c>
      <c r="C25" s="9">
        <v>397</v>
      </c>
      <c r="D25" s="9">
        <v>1416</v>
      </c>
      <c r="E25" s="18">
        <v>2001</v>
      </c>
      <c r="F25" s="21">
        <v>1279</v>
      </c>
      <c r="G25" s="9">
        <v>593</v>
      </c>
      <c r="H25" s="9">
        <v>173</v>
      </c>
      <c r="I25" s="9">
        <v>227</v>
      </c>
      <c r="J25" s="18">
        <v>699</v>
      </c>
      <c r="K25" s="9">
        <v>267</v>
      </c>
      <c r="L25" s="9">
        <v>614</v>
      </c>
      <c r="M25" s="9">
        <v>587</v>
      </c>
      <c r="N25" s="9">
        <v>544</v>
      </c>
      <c r="O25" s="18">
        <v>1058</v>
      </c>
      <c r="P25" s="21">
        <v>10687</v>
      </c>
      <c r="Q25" s="2" t="s">
        <v>2</v>
      </c>
    </row>
    <row r="26" spans="1:17" ht="24.95" customHeight="1" x14ac:dyDescent="0.2">
      <c r="A26" s="11" t="s">
        <v>277</v>
      </c>
      <c r="B26" s="9">
        <v>1149</v>
      </c>
      <c r="C26" s="9">
        <v>534</v>
      </c>
      <c r="D26" s="9">
        <v>2256</v>
      </c>
      <c r="E26" s="18">
        <v>3087</v>
      </c>
      <c r="F26" s="21">
        <v>1809</v>
      </c>
      <c r="G26" s="9">
        <v>764</v>
      </c>
      <c r="H26" s="9">
        <v>243</v>
      </c>
      <c r="I26" s="9">
        <v>305</v>
      </c>
      <c r="J26" s="18">
        <v>894</v>
      </c>
      <c r="K26" s="9">
        <v>385</v>
      </c>
      <c r="L26" s="9">
        <v>791</v>
      </c>
      <c r="M26" s="9">
        <v>782</v>
      </c>
      <c r="N26" s="9">
        <v>709</v>
      </c>
      <c r="O26" s="18">
        <v>1377</v>
      </c>
      <c r="P26" s="21">
        <v>15085</v>
      </c>
      <c r="Q26" s="2" t="s">
        <v>2</v>
      </c>
    </row>
    <row r="27" spans="1:17" ht="24.95" customHeight="1" x14ac:dyDescent="0.2">
      <c r="A27" s="11" t="s">
        <v>275</v>
      </c>
      <c r="B27" s="9">
        <v>868</v>
      </c>
      <c r="C27" s="9">
        <v>376</v>
      </c>
      <c r="D27" s="9">
        <v>1658</v>
      </c>
      <c r="E27" s="18">
        <v>2225</v>
      </c>
      <c r="F27" s="21">
        <v>1215</v>
      </c>
      <c r="G27" s="9">
        <v>508</v>
      </c>
      <c r="H27" s="9">
        <v>185</v>
      </c>
      <c r="I27" s="9">
        <v>203</v>
      </c>
      <c r="J27" s="18">
        <v>563</v>
      </c>
      <c r="K27" s="9">
        <v>234</v>
      </c>
      <c r="L27" s="9">
        <v>531</v>
      </c>
      <c r="M27" s="9">
        <v>475</v>
      </c>
      <c r="N27" s="9">
        <v>431</v>
      </c>
      <c r="O27" s="18">
        <v>857</v>
      </c>
      <c r="P27" s="21">
        <v>10329</v>
      </c>
      <c r="Q27" s="2" t="s">
        <v>2</v>
      </c>
    </row>
    <row r="28" spans="1:17" ht="24.95" customHeight="1" x14ac:dyDescent="0.25">
      <c r="A28" s="12" t="s">
        <v>278</v>
      </c>
      <c r="B28" s="10">
        <v>1284</v>
      </c>
      <c r="C28" s="10">
        <v>612</v>
      </c>
      <c r="D28" s="10">
        <v>2703</v>
      </c>
      <c r="E28" s="19">
        <v>3829</v>
      </c>
      <c r="F28" s="22">
        <v>2285</v>
      </c>
      <c r="G28" s="10">
        <v>947</v>
      </c>
      <c r="H28" s="10">
        <v>333</v>
      </c>
      <c r="I28" s="10">
        <v>388</v>
      </c>
      <c r="J28" s="19">
        <v>1086</v>
      </c>
      <c r="K28" s="10">
        <v>455</v>
      </c>
      <c r="L28" s="10">
        <v>915</v>
      </c>
      <c r="M28" s="10">
        <v>935</v>
      </c>
      <c r="N28" s="10">
        <v>862</v>
      </c>
      <c r="O28" s="19">
        <v>1617</v>
      </c>
      <c r="P28" s="22">
        <v>18251</v>
      </c>
      <c r="Q28" s="6" t="s">
        <v>2</v>
      </c>
    </row>
    <row r="29" spans="1:17" ht="24.95" customHeight="1" x14ac:dyDescent="0.2">
      <c r="A29" s="11" t="s">
        <v>468</v>
      </c>
      <c r="B29" s="9">
        <v>12</v>
      </c>
      <c r="C29" s="9" t="s">
        <v>612</v>
      </c>
      <c r="D29" s="9">
        <v>20</v>
      </c>
      <c r="E29" s="18">
        <v>104</v>
      </c>
      <c r="F29" s="21">
        <v>108</v>
      </c>
      <c r="G29" s="9">
        <v>28</v>
      </c>
      <c r="H29" s="9">
        <v>12</v>
      </c>
      <c r="I29" s="9">
        <v>25</v>
      </c>
      <c r="J29" s="18">
        <v>40</v>
      </c>
      <c r="K29" s="9">
        <v>17</v>
      </c>
      <c r="L29" s="9">
        <v>19</v>
      </c>
      <c r="M29" s="9">
        <v>26</v>
      </c>
      <c r="N29" s="9">
        <v>22</v>
      </c>
      <c r="O29" s="18" t="s">
        <v>612</v>
      </c>
      <c r="P29" s="21">
        <v>490</v>
      </c>
      <c r="Q29" s="38" t="s">
        <v>469</v>
      </c>
    </row>
    <row r="30" spans="1:17" ht="24.95" customHeight="1" x14ac:dyDescent="0.2">
      <c r="A30" s="11" t="s">
        <v>470</v>
      </c>
      <c r="B30" s="9">
        <v>21</v>
      </c>
      <c r="C30" s="9" t="s">
        <v>612</v>
      </c>
      <c r="D30" s="9">
        <v>52</v>
      </c>
      <c r="E30" s="18">
        <v>300</v>
      </c>
      <c r="F30" s="21">
        <v>300</v>
      </c>
      <c r="G30" s="9">
        <v>97</v>
      </c>
      <c r="H30" s="9">
        <v>34</v>
      </c>
      <c r="I30" s="9">
        <v>68</v>
      </c>
      <c r="J30" s="18">
        <v>105</v>
      </c>
      <c r="K30" s="9" t="s">
        <v>612</v>
      </c>
      <c r="L30" s="9">
        <v>51</v>
      </c>
      <c r="M30" s="9">
        <v>71</v>
      </c>
      <c r="N30" s="9">
        <v>64</v>
      </c>
      <c r="O30" s="18">
        <v>112</v>
      </c>
      <c r="P30" s="21">
        <v>1366</v>
      </c>
      <c r="Q30" s="38" t="s">
        <v>471</v>
      </c>
    </row>
    <row r="31" spans="1:17" ht="24.95" customHeight="1" x14ac:dyDescent="0.25">
      <c r="A31" s="12" t="s">
        <v>294</v>
      </c>
      <c r="B31" s="10" t="s">
        <v>612</v>
      </c>
      <c r="C31" s="10">
        <v>47</v>
      </c>
      <c r="D31" s="10">
        <v>61</v>
      </c>
      <c r="E31" s="19">
        <v>322</v>
      </c>
      <c r="F31" s="22">
        <v>318</v>
      </c>
      <c r="G31" s="10">
        <v>101</v>
      </c>
      <c r="H31" s="10">
        <v>39</v>
      </c>
      <c r="I31" s="10">
        <v>69</v>
      </c>
      <c r="J31" s="19">
        <v>112</v>
      </c>
      <c r="K31" s="10" t="s">
        <v>612</v>
      </c>
      <c r="L31" s="10">
        <v>59</v>
      </c>
      <c r="M31" s="10">
        <v>79</v>
      </c>
      <c r="N31" s="10">
        <v>70</v>
      </c>
      <c r="O31" s="19">
        <v>124</v>
      </c>
      <c r="P31" s="22">
        <v>1475</v>
      </c>
      <c r="Q31" s="6" t="s">
        <v>2</v>
      </c>
    </row>
    <row r="32" spans="1:17" ht="24.95" customHeight="1" x14ac:dyDescent="0.2">
      <c r="A32" s="11" t="s">
        <v>472</v>
      </c>
      <c r="B32" s="9">
        <v>193</v>
      </c>
      <c r="C32" s="9">
        <v>286</v>
      </c>
      <c r="D32" s="9">
        <v>462</v>
      </c>
      <c r="E32" s="18">
        <v>1307</v>
      </c>
      <c r="F32" s="21">
        <v>1056</v>
      </c>
      <c r="G32" s="9">
        <v>429</v>
      </c>
      <c r="H32" s="9">
        <v>205</v>
      </c>
      <c r="I32" s="9">
        <v>186</v>
      </c>
      <c r="J32" s="18">
        <v>364</v>
      </c>
      <c r="K32" s="9">
        <v>181</v>
      </c>
      <c r="L32" s="9">
        <v>251</v>
      </c>
      <c r="M32" s="9">
        <v>318</v>
      </c>
      <c r="N32" s="9">
        <v>293</v>
      </c>
      <c r="O32" s="18">
        <v>492</v>
      </c>
      <c r="P32" s="21">
        <v>6023</v>
      </c>
      <c r="Q32" s="2"/>
    </row>
    <row r="33" spans="1:17" ht="24.95" customHeight="1" x14ac:dyDescent="0.2">
      <c r="A33" s="11" t="s">
        <v>473</v>
      </c>
      <c r="B33" s="9" t="s">
        <v>612</v>
      </c>
      <c r="C33" s="9">
        <v>124</v>
      </c>
      <c r="D33" s="9">
        <v>155</v>
      </c>
      <c r="E33" s="18">
        <v>438</v>
      </c>
      <c r="F33" s="21">
        <v>379</v>
      </c>
      <c r="G33" s="9">
        <v>138</v>
      </c>
      <c r="H33" s="9">
        <v>69</v>
      </c>
      <c r="I33" s="9">
        <v>65</v>
      </c>
      <c r="J33" s="18" t="s">
        <v>612</v>
      </c>
      <c r="K33" s="9">
        <v>77</v>
      </c>
      <c r="L33" s="9">
        <v>75</v>
      </c>
      <c r="M33" s="9">
        <v>121</v>
      </c>
      <c r="N33" s="9">
        <v>97</v>
      </c>
      <c r="O33" s="18">
        <v>180</v>
      </c>
      <c r="P33" s="21">
        <v>2085</v>
      </c>
      <c r="Q33" s="38" t="s">
        <v>474</v>
      </c>
    </row>
    <row r="34" spans="1:17" ht="24.95" customHeight="1" x14ac:dyDescent="0.2">
      <c r="A34" s="11" t="s">
        <v>475</v>
      </c>
      <c r="B34" s="9" t="s">
        <v>612</v>
      </c>
      <c r="C34" s="9">
        <v>170</v>
      </c>
      <c r="D34" s="9">
        <v>144</v>
      </c>
      <c r="E34" s="18">
        <v>578</v>
      </c>
      <c r="F34" s="21">
        <v>528</v>
      </c>
      <c r="G34" s="9">
        <v>188</v>
      </c>
      <c r="H34" s="9">
        <v>91</v>
      </c>
      <c r="I34" s="9">
        <v>86</v>
      </c>
      <c r="J34" s="18" t="s">
        <v>612</v>
      </c>
      <c r="K34" s="9">
        <v>85</v>
      </c>
      <c r="L34" s="9">
        <v>107</v>
      </c>
      <c r="M34" s="9">
        <v>162</v>
      </c>
      <c r="N34" s="9">
        <v>154</v>
      </c>
      <c r="O34" s="18">
        <v>247</v>
      </c>
      <c r="P34" s="21">
        <v>2797</v>
      </c>
      <c r="Q34" s="38" t="s">
        <v>476</v>
      </c>
    </row>
    <row r="35" spans="1:17" ht="24.95" customHeight="1" x14ac:dyDescent="0.25">
      <c r="A35" s="12" t="s">
        <v>306</v>
      </c>
      <c r="B35" s="10">
        <v>221</v>
      </c>
      <c r="C35" s="10">
        <v>322</v>
      </c>
      <c r="D35" s="10">
        <v>498</v>
      </c>
      <c r="E35" s="19">
        <v>1426</v>
      </c>
      <c r="F35" s="22">
        <v>1184</v>
      </c>
      <c r="G35" s="10">
        <v>497</v>
      </c>
      <c r="H35" s="10">
        <v>226</v>
      </c>
      <c r="I35" s="10">
        <v>226</v>
      </c>
      <c r="J35" s="19">
        <v>410</v>
      </c>
      <c r="K35" s="10">
        <v>209</v>
      </c>
      <c r="L35" s="10">
        <v>278</v>
      </c>
      <c r="M35" s="10">
        <v>382</v>
      </c>
      <c r="N35" s="10">
        <v>337</v>
      </c>
      <c r="O35" s="19">
        <v>580</v>
      </c>
      <c r="P35" s="22">
        <v>6796</v>
      </c>
      <c r="Q35" s="6" t="s">
        <v>2</v>
      </c>
    </row>
    <row r="36" spans="1:17" ht="24.95" customHeight="1" x14ac:dyDescent="0.25">
      <c r="A36" s="12" t="s">
        <v>477</v>
      </c>
      <c r="B36" s="10">
        <v>27</v>
      </c>
      <c r="C36" s="10">
        <v>52</v>
      </c>
      <c r="D36" s="10">
        <v>26</v>
      </c>
      <c r="E36" s="19">
        <v>228</v>
      </c>
      <c r="F36" s="22">
        <v>241</v>
      </c>
      <c r="G36" s="10">
        <v>128</v>
      </c>
      <c r="H36" s="10">
        <v>47</v>
      </c>
      <c r="I36" s="10">
        <v>58</v>
      </c>
      <c r="J36" s="19">
        <v>90</v>
      </c>
      <c r="K36" s="10">
        <v>41</v>
      </c>
      <c r="L36" s="10">
        <v>67</v>
      </c>
      <c r="M36" s="10">
        <v>96</v>
      </c>
      <c r="N36" s="10">
        <v>104</v>
      </c>
      <c r="O36" s="19">
        <v>135</v>
      </c>
      <c r="P36" s="22">
        <v>1340</v>
      </c>
      <c r="Q36" s="6" t="s">
        <v>2</v>
      </c>
    </row>
    <row r="37" spans="1:17" ht="24.95" customHeight="1" x14ac:dyDescent="0.25">
      <c r="A37" s="12" t="s">
        <v>309</v>
      </c>
      <c r="B37" s="10">
        <v>0</v>
      </c>
      <c r="C37" s="10" t="s">
        <v>612</v>
      </c>
      <c r="D37" s="10" t="s">
        <v>612</v>
      </c>
      <c r="E37" s="19">
        <v>31</v>
      </c>
      <c r="F37" s="22">
        <v>21</v>
      </c>
      <c r="G37" s="10">
        <v>23</v>
      </c>
      <c r="H37" s="10">
        <v>7</v>
      </c>
      <c r="I37" s="10" t="s">
        <v>612</v>
      </c>
      <c r="J37" s="19">
        <v>7</v>
      </c>
      <c r="K37" s="10">
        <v>7</v>
      </c>
      <c r="L37" s="10">
        <v>7</v>
      </c>
      <c r="M37" s="10" t="s">
        <v>612</v>
      </c>
      <c r="N37" s="10" t="s">
        <v>612</v>
      </c>
      <c r="O37" s="19">
        <v>8</v>
      </c>
      <c r="P37" s="22">
        <v>133</v>
      </c>
      <c r="Q37" s="6" t="s">
        <v>478</v>
      </c>
    </row>
    <row r="38" spans="1:17" ht="24.95" customHeight="1" x14ac:dyDescent="0.25">
      <c r="A38" s="12" t="s">
        <v>310</v>
      </c>
      <c r="B38" s="10">
        <v>199</v>
      </c>
      <c r="C38" s="10">
        <v>192</v>
      </c>
      <c r="D38" s="10">
        <v>192</v>
      </c>
      <c r="E38" s="19">
        <v>952</v>
      </c>
      <c r="F38" s="22">
        <v>1453</v>
      </c>
      <c r="G38" s="10">
        <v>639</v>
      </c>
      <c r="H38" s="10">
        <v>316</v>
      </c>
      <c r="I38" s="10">
        <v>329</v>
      </c>
      <c r="J38" s="19">
        <v>626</v>
      </c>
      <c r="K38" s="10">
        <v>288</v>
      </c>
      <c r="L38" s="10">
        <v>206</v>
      </c>
      <c r="M38" s="10">
        <v>570</v>
      </c>
      <c r="N38" s="10">
        <v>528</v>
      </c>
      <c r="O38" s="19">
        <v>784</v>
      </c>
      <c r="P38" s="22">
        <v>7274</v>
      </c>
      <c r="Q38" s="6" t="s">
        <v>2</v>
      </c>
    </row>
    <row r="39" spans="1:17" ht="24.95" customHeight="1" x14ac:dyDescent="0.25">
      <c r="A39" s="12" t="s">
        <v>312</v>
      </c>
      <c r="B39" s="10" t="s">
        <v>612</v>
      </c>
      <c r="C39" s="10" t="s">
        <v>612</v>
      </c>
      <c r="D39" s="10">
        <v>6</v>
      </c>
      <c r="E39" s="19">
        <v>58</v>
      </c>
      <c r="F39" s="22">
        <v>112</v>
      </c>
      <c r="G39" s="10">
        <v>50</v>
      </c>
      <c r="H39" s="10">
        <v>23</v>
      </c>
      <c r="I39" s="10">
        <v>22</v>
      </c>
      <c r="J39" s="19">
        <v>31</v>
      </c>
      <c r="K39" s="10">
        <v>21</v>
      </c>
      <c r="L39" s="10">
        <v>28</v>
      </c>
      <c r="M39" s="10">
        <v>32</v>
      </c>
      <c r="N39" s="10">
        <v>48</v>
      </c>
      <c r="O39" s="19">
        <v>77</v>
      </c>
      <c r="P39" s="22">
        <v>512</v>
      </c>
      <c r="Q39" s="6" t="s">
        <v>445</v>
      </c>
    </row>
    <row r="40" spans="1:17" ht="24.95" customHeight="1" x14ac:dyDescent="0.25">
      <c r="A40" s="12" t="s">
        <v>314</v>
      </c>
      <c r="B40" s="10" t="s">
        <v>612</v>
      </c>
      <c r="C40" s="10">
        <v>5</v>
      </c>
      <c r="D40" s="10" t="s">
        <v>612</v>
      </c>
      <c r="E40" s="19">
        <v>36</v>
      </c>
      <c r="F40" s="22">
        <v>66</v>
      </c>
      <c r="G40" s="10">
        <v>32</v>
      </c>
      <c r="H40" s="10">
        <v>18</v>
      </c>
      <c r="I40" s="10">
        <v>22</v>
      </c>
      <c r="J40" s="19">
        <v>25</v>
      </c>
      <c r="K40" s="10">
        <v>16</v>
      </c>
      <c r="L40" s="10">
        <v>11</v>
      </c>
      <c r="M40" s="10">
        <v>32</v>
      </c>
      <c r="N40" s="10">
        <v>28</v>
      </c>
      <c r="O40" s="19">
        <v>39</v>
      </c>
      <c r="P40" s="22">
        <v>333</v>
      </c>
      <c r="Q40" s="6" t="s">
        <v>467</v>
      </c>
    </row>
    <row r="41" spans="1:17" ht="24.95" customHeight="1" x14ac:dyDescent="0.25">
      <c r="A41" s="12" t="s">
        <v>315</v>
      </c>
      <c r="B41" s="10" t="s">
        <v>612</v>
      </c>
      <c r="C41" s="10">
        <v>8</v>
      </c>
      <c r="D41" s="10" t="s">
        <v>612</v>
      </c>
      <c r="E41" s="19">
        <v>257</v>
      </c>
      <c r="F41" s="22">
        <v>165</v>
      </c>
      <c r="G41" s="10">
        <v>103</v>
      </c>
      <c r="H41" s="10">
        <v>39</v>
      </c>
      <c r="I41" s="10">
        <v>55</v>
      </c>
      <c r="J41" s="19">
        <v>77</v>
      </c>
      <c r="K41" s="10">
        <v>36</v>
      </c>
      <c r="L41" s="10">
        <v>55</v>
      </c>
      <c r="M41" s="10">
        <v>55</v>
      </c>
      <c r="N41" s="10">
        <v>58</v>
      </c>
      <c r="O41" s="19">
        <v>87</v>
      </c>
      <c r="P41" s="22">
        <v>1021</v>
      </c>
      <c r="Q41" s="6" t="s">
        <v>467</v>
      </c>
    </row>
    <row r="42" spans="1:17" ht="24.95" customHeight="1" x14ac:dyDescent="0.25">
      <c r="A42" s="12" t="s">
        <v>479</v>
      </c>
      <c r="B42" s="10">
        <v>1691</v>
      </c>
      <c r="C42" s="10">
        <v>1680</v>
      </c>
      <c r="D42" s="10">
        <v>5245</v>
      </c>
      <c r="E42" s="19">
        <v>9162</v>
      </c>
      <c r="F42" s="19">
        <v>8259</v>
      </c>
      <c r="G42" s="10">
        <v>3533</v>
      </c>
      <c r="H42" s="10">
        <v>1398</v>
      </c>
      <c r="I42" s="10">
        <v>1441</v>
      </c>
      <c r="J42" s="19">
        <v>2506</v>
      </c>
      <c r="K42" s="10">
        <v>1481</v>
      </c>
      <c r="L42" s="10">
        <v>1851</v>
      </c>
      <c r="M42" s="10">
        <v>2900</v>
      </c>
      <c r="N42" s="10">
        <v>2677</v>
      </c>
      <c r="O42" s="19">
        <v>3834</v>
      </c>
      <c r="P42" s="19">
        <v>47658</v>
      </c>
      <c r="Q42" s="6" t="s">
        <v>2</v>
      </c>
    </row>
    <row r="46" spans="1:17" x14ac:dyDescent="0.2">
      <c r="M46" s="54"/>
    </row>
  </sheetData>
  <hyperlinks>
    <hyperlink ref="A5" r:id="rId1" xr:uid="{00000000-0004-0000-1300-000000000000}"/>
  </hyperlinks>
  <pageMargins left="0.7" right="0.7" top="0.75" bottom="0.75" header="0.3" footer="0.3"/>
  <pageSetup paperSize="9" orientation="portrait" horizontalDpi="300" verticalDpi="30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41"/>
  <sheetViews>
    <sheetView showGridLines="0" zoomScaleNormal="100" workbookViewId="0"/>
  </sheetViews>
  <sheetFormatPr defaultColWidth="11.5546875" defaultRowHeight="15" x14ac:dyDescent="0.2"/>
  <cols>
    <col min="1" max="1" width="50.6640625" customWidth="1"/>
    <col min="2" max="16" width="15.6640625" customWidth="1"/>
    <col min="17" max="17" width="53.33203125" bestFit="1" customWidth="1"/>
    <col min="18" max="100" width="15.6640625" customWidth="1"/>
  </cols>
  <sheetData>
    <row r="1" spans="1:17" ht="20.25" x14ac:dyDescent="0.3">
      <c r="A1" s="4" t="s">
        <v>600</v>
      </c>
    </row>
    <row r="2" spans="1:17" x14ac:dyDescent="0.2">
      <c r="A2" t="s">
        <v>37</v>
      </c>
    </row>
    <row r="3" spans="1:17" x14ac:dyDescent="0.2">
      <c r="A3" t="s">
        <v>139</v>
      </c>
    </row>
    <row r="4" spans="1:17" x14ac:dyDescent="0.2">
      <c r="A4" s="7" t="str">
        <f>HYPERLINK("#Notes!A1", "Link to Notes table")</f>
        <v>Link to Notes table</v>
      </c>
    </row>
    <row r="5" spans="1:17" ht="15.75" thickBot="1" x14ac:dyDescent="0.25">
      <c r="A5" s="7" t="s">
        <v>140</v>
      </c>
    </row>
    <row r="6" spans="1:17" ht="63.75" thickBot="1" x14ac:dyDescent="0.3">
      <c r="A6" s="14" t="s">
        <v>308</v>
      </c>
      <c r="B6" s="15" t="s">
        <v>480</v>
      </c>
      <c r="C6" s="15" t="s">
        <v>481</v>
      </c>
      <c r="D6" s="15" t="s">
        <v>482</v>
      </c>
      <c r="E6" s="17" t="s">
        <v>483</v>
      </c>
      <c r="F6" s="20" t="s">
        <v>484</v>
      </c>
      <c r="G6" s="15" t="s">
        <v>485</v>
      </c>
      <c r="H6" s="15" t="s">
        <v>486</v>
      </c>
      <c r="I6" s="15" t="s">
        <v>487</v>
      </c>
      <c r="J6" s="17" t="s">
        <v>488</v>
      </c>
      <c r="K6" s="15" t="s">
        <v>489</v>
      </c>
      <c r="L6" s="15" t="s">
        <v>490</v>
      </c>
      <c r="M6" s="15" t="s">
        <v>491</v>
      </c>
      <c r="N6" s="15" t="s">
        <v>492</v>
      </c>
      <c r="O6" s="17" t="s">
        <v>493</v>
      </c>
      <c r="P6" s="20" t="s">
        <v>494</v>
      </c>
      <c r="Q6" s="16" t="s">
        <v>156</v>
      </c>
    </row>
    <row r="7" spans="1:17" ht="24.95" customHeight="1" x14ac:dyDescent="0.2">
      <c r="A7" s="11" t="s">
        <v>254</v>
      </c>
      <c r="B7" s="9" t="s">
        <v>612</v>
      </c>
      <c r="C7" s="9">
        <v>397</v>
      </c>
      <c r="D7" s="9">
        <v>0</v>
      </c>
      <c r="E7" s="18" t="s">
        <v>612</v>
      </c>
      <c r="F7" s="21">
        <v>1570</v>
      </c>
      <c r="G7" s="9">
        <v>947</v>
      </c>
      <c r="H7" s="9">
        <v>1310</v>
      </c>
      <c r="I7" s="9">
        <v>651</v>
      </c>
      <c r="J7" s="18">
        <v>2909</v>
      </c>
      <c r="K7" s="9">
        <v>2499</v>
      </c>
      <c r="L7" s="9">
        <v>1879</v>
      </c>
      <c r="M7" s="9">
        <v>6418</v>
      </c>
      <c r="N7" s="9">
        <v>12053</v>
      </c>
      <c r="O7" s="18">
        <v>31976</v>
      </c>
      <c r="P7" s="21">
        <v>63039</v>
      </c>
      <c r="Q7" s="38" t="s">
        <v>466</v>
      </c>
    </row>
    <row r="8" spans="1:17" ht="24.95" customHeight="1" x14ac:dyDescent="0.2">
      <c r="A8" s="11" t="s">
        <v>255</v>
      </c>
      <c r="B8" s="9" t="s">
        <v>612</v>
      </c>
      <c r="C8" s="9">
        <v>1642</v>
      </c>
      <c r="D8" s="9" t="s">
        <v>612</v>
      </c>
      <c r="E8" s="18">
        <v>658</v>
      </c>
      <c r="F8" s="21">
        <v>4495</v>
      </c>
      <c r="G8" s="9">
        <v>2885</v>
      </c>
      <c r="H8" s="9">
        <v>3347</v>
      </c>
      <c r="I8" s="9">
        <v>2145</v>
      </c>
      <c r="J8" s="18">
        <v>6703</v>
      </c>
      <c r="K8" s="9">
        <v>6659</v>
      </c>
      <c r="L8" s="9">
        <v>6001</v>
      </c>
      <c r="M8" s="9">
        <v>17895</v>
      </c>
      <c r="N8" s="9">
        <v>37010</v>
      </c>
      <c r="O8" s="18">
        <v>92665</v>
      </c>
      <c r="P8" s="21">
        <v>182317</v>
      </c>
      <c r="Q8" s="38" t="s">
        <v>467</v>
      </c>
    </row>
    <row r="9" spans="1:17" ht="24.95" customHeight="1" x14ac:dyDescent="0.2">
      <c r="A9" s="11" t="s">
        <v>256</v>
      </c>
      <c r="B9" s="9" t="s">
        <v>612</v>
      </c>
      <c r="C9" s="9">
        <v>145</v>
      </c>
      <c r="D9" s="9" t="s">
        <v>612</v>
      </c>
      <c r="E9" s="18" t="s">
        <v>612</v>
      </c>
      <c r="F9" s="21">
        <v>745</v>
      </c>
      <c r="G9" s="9">
        <v>265</v>
      </c>
      <c r="H9" s="9">
        <v>671</v>
      </c>
      <c r="I9" s="9">
        <v>309</v>
      </c>
      <c r="J9" s="18">
        <v>533</v>
      </c>
      <c r="K9" s="9">
        <v>766</v>
      </c>
      <c r="L9" s="9">
        <v>974</v>
      </c>
      <c r="M9" s="9">
        <v>2439</v>
      </c>
      <c r="N9" s="9">
        <v>6042</v>
      </c>
      <c r="O9" s="18">
        <v>10055</v>
      </c>
      <c r="P9" s="21">
        <v>23185</v>
      </c>
      <c r="Q9" s="38" t="s">
        <v>495</v>
      </c>
    </row>
    <row r="10" spans="1:17" ht="24.95" customHeight="1" x14ac:dyDescent="0.25">
      <c r="A10" s="12" t="s">
        <v>257</v>
      </c>
      <c r="B10" s="10" t="s">
        <v>612</v>
      </c>
      <c r="C10" s="10">
        <v>2184</v>
      </c>
      <c r="D10" s="10" t="s">
        <v>612</v>
      </c>
      <c r="E10" s="19">
        <v>1233</v>
      </c>
      <c r="F10" s="22">
        <v>6810</v>
      </c>
      <c r="G10" s="10">
        <v>4097</v>
      </c>
      <c r="H10" s="10">
        <v>5328</v>
      </c>
      <c r="I10" s="10">
        <v>3105</v>
      </c>
      <c r="J10" s="19">
        <v>10145</v>
      </c>
      <c r="K10" s="10">
        <v>9924</v>
      </c>
      <c r="L10" s="10">
        <v>8854</v>
      </c>
      <c r="M10" s="10">
        <v>26752</v>
      </c>
      <c r="N10" s="10">
        <v>55105</v>
      </c>
      <c r="O10" s="19">
        <v>134696</v>
      </c>
      <c r="P10" s="22">
        <v>268541</v>
      </c>
      <c r="Q10" s="6"/>
    </row>
    <row r="11" spans="1:17" ht="24.95" customHeight="1" x14ac:dyDescent="0.2">
      <c r="A11" s="11" t="s">
        <v>258</v>
      </c>
      <c r="B11" s="9">
        <v>357</v>
      </c>
      <c r="C11" s="9">
        <v>9724</v>
      </c>
      <c r="D11" s="9">
        <v>363</v>
      </c>
      <c r="E11" s="18">
        <v>11419</v>
      </c>
      <c r="F11" s="21">
        <v>55752</v>
      </c>
      <c r="G11" s="9">
        <v>10931</v>
      </c>
      <c r="H11" s="9">
        <v>7208</v>
      </c>
      <c r="I11" s="9">
        <v>6154</v>
      </c>
      <c r="J11" s="18">
        <v>18440</v>
      </c>
      <c r="K11" s="9">
        <v>4560</v>
      </c>
      <c r="L11" s="9">
        <v>4789</v>
      </c>
      <c r="M11" s="9">
        <v>12717</v>
      </c>
      <c r="N11" s="9">
        <v>15788</v>
      </c>
      <c r="O11" s="18">
        <v>35629</v>
      </c>
      <c r="P11" s="21">
        <v>193831</v>
      </c>
      <c r="Q11" s="2"/>
    </row>
    <row r="12" spans="1:17" ht="24.95" customHeight="1" x14ac:dyDescent="0.2">
      <c r="A12" s="11" t="s">
        <v>259</v>
      </c>
      <c r="B12" s="9">
        <v>1521</v>
      </c>
      <c r="C12" s="9">
        <v>24459</v>
      </c>
      <c r="D12" s="9">
        <v>2234</v>
      </c>
      <c r="E12" s="18">
        <v>39113</v>
      </c>
      <c r="F12" s="21">
        <v>71718</v>
      </c>
      <c r="G12" s="9">
        <v>29412</v>
      </c>
      <c r="H12" s="9">
        <v>10846</v>
      </c>
      <c r="I12" s="9">
        <v>11516</v>
      </c>
      <c r="J12" s="18">
        <v>40396</v>
      </c>
      <c r="K12" s="9">
        <v>10229</v>
      </c>
      <c r="L12" s="9">
        <v>16911</v>
      </c>
      <c r="M12" s="9">
        <v>25672</v>
      </c>
      <c r="N12" s="9">
        <v>25830</v>
      </c>
      <c r="O12" s="18">
        <v>63601</v>
      </c>
      <c r="P12" s="21">
        <v>373458</v>
      </c>
      <c r="Q12" s="2"/>
    </row>
    <row r="13" spans="1:17" ht="24.95" customHeight="1" x14ac:dyDescent="0.2">
      <c r="A13" s="11" t="s">
        <v>260</v>
      </c>
      <c r="B13" s="9">
        <v>179</v>
      </c>
      <c r="C13" s="9">
        <v>2895</v>
      </c>
      <c r="D13" s="9">
        <v>396</v>
      </c>
      <c r="E13" s="18">
        <v>5840</v>
      </c>
      <c r="F13" s="21">
        <v>18554</v>
      </c>
      <c r="G13" s="9">
        <v>4959</v>
      </c>
      <c r="H13" s="9">
        <v>2349</v>
      </c>
      <c r="I13" s="9">
        <v>2145</v>
      </c>
      <c r="J13" s="18">
        <v>5040</v>
      </c>
      <c r="K13" s="9">
        <v>2295</v>
      </c>
      <c r="L13" s="9">
        <v>3216</v>
      </c>
      <c r="M13" s="9">
        <v>5487</v>
      </c>
      <c r="N13" s="9">
        <v>5802</v>
      </c>
      <c r="O13" s="18">
        <v>12023</v>
      </c>
      <c r="P13" s="21">
        <v>71180</v>
      </c>
      <c r="Q13" s="2"/>
    </row>
    <row r="14" spans="1:17" ht="24.95" customHeight="1" x14ac:dyDescent="0.25">
      <c r="A14" s="12" t="s">
        <v>261</v>
      </c>
      <c r="B14" s="10">
        <v>2057</v>
      </c>
      <c r="C14" s="10">
        <v>37078</v>
      </c>
      <c r="D14" s="10">
        <v>2993</v>
      </c>
      <c r="E14" s="19">
        <v>56372</v>
      </c>
      <c r="F14" s="22">
        <v>146024</v>
      </c>
      <c r="G14" s="10">
        <v>45302</v>
      </c>
      <c r="H14" s="10">
        <v>20403</v>
      </c>
      <c r="I14" s="10">
        <v>19815</v>
      </c>
      <c r="J14" s="19">
        <v>63876</v>
      </c>
      <c r="K14" s="10">
        <v>17084</v>
      </c>
      <c r="L14" s="10">
        <v>24916</v>
      </c>
      <c r="M14" s="10">
        <v>43876</v>
      </c>
      <c r="N14" s="10">
        <v>47420</v>
      </c>
      <c r="O14" s="19">
        <v>111253</v>
      </c>
      <c r="P14" s="22">
        <v>638469</v>
      </c>
      <c r="Q14" s="6"/>
    </row>
    <row r="15" spans="1:17" ht="24.95" customHeight="1" x14ac:dyDescent="0.2">
      <c r="A15" s="11" t="s">
        <v>262</v>
      </c>
      <c r="B15" s="9">
        <v>159</v>
      </c>
      <c r="C15" s="9">
        <v>7389</v>
      </c>
      <c r="D15" s="9">
        <v>157</v>
      </c>
      <c r="E15" s="18">
        <v>8102</v>
      </c>
      <c r="F15" s="21">
        <v>59823</v>
      </c>
      <c r="G15" s="9">
        <v>9839</v>
      </c>
      <c r="H15" s="9">
        <v>9479</v>
      </c>
      <c r="I15" s="9">
        <v>6249</v>
      </c>
      <c r="J15" s="18">
        <v>16212</v>
      </c>
      <c r="K15" s="9">
        <v>4935</v>
      </c>
      <c r="L15" s="9">
        <v>2831</v>
      </c>
      <c r="M15" s="9">
        <v>12594</v>
      </c>
      <c r="N15" s="9">
        <v>15165</v>
      </c>
      <c r="O15" s="18">
        <v>33840</v>
      </c>
      <c r="P15" s="21">
        <v>186774</v>
      </c>
      <c r="Q15" s="2"/>
    </row>
    <row r="16" spans="1:17" ht="24.95" customHeight="1" x14ac:dyDescent="0.2">
      <c r="A16" s="11" t="s">
        <v>263</v>
      </c>
      <c r="B16" s="9">
        <v>167</v>
      </c>
      <c r="C16" s="9">
        <v>1889</v>
      </c>
      <c r="D16" s="9">
        <v>173</v>
      </c>
      <c r="E16" s="18">
        <v>3326</v>
      </c>
      <c r="F16" s="21">
        <v>14852</v>
      </c>
      <c r="G16" s="9">
        <v>3262</v>
      </c>
      <c r="H16" s="9">
        <v>2464</v>
      </c>
      <c r="I16" s="9">
        <v>1564</v>
      </c>
      <c r="J16" s="18">
        <v>3972</v>
      </c>
      <c r="K16" s="9">
        <v>1696</v>
      </c>
      <c r="L16" s="9">
        <v>1542</v>
      </c>
      <c r="M16" s="9">
        <v>4324</v>
      </c>
      <c r="N16" s="9">
        <v>4918</v>
      </c>
      <c r="O16" s="18">
        <v>9685</v>
      </c>
      <c r="P16" s="21">
        <v>53834</v>
      </c>
      <c r="Q16" s="2"/>
    </row>
    <row r="17" spans="1:17" ht="24.95" customHeight="1" x14ac:dyDescent="0.25">
      <c r="A17" s="12" t="s">
        <v>264</v>
      </c>
      <c r="B17" s="10">
        <v>326</v>
      </c>
      <c r="C17" s="10">
        <v>9278</v>
      </c>
      <c r="D17" s="10">
        <v>330</v>
      </c>
      <c r="E17" s="19">
        <v>11428</v>
      </c>
      <c r="F17" s="22">
        <v>74675</v>
      </c>
      <c r="G17" s="10">
        <v>13101</v>
      </c>
      <c r="H17" s="10">
        <v>11943</v>
      </c>
      <c r="I17" s="10">
        <v>7813</v>
      </c>
      <c r="J17" s="19">
        <v>20184</v>
      </c>
      <c r="K17" s="10">
        <v>6631</v>
      </c>
      <c r="L17" s="10">
        <v>4373</v>
      </c>
      <c r="M17" s="10">
        <v>16918</v>
      </c>
      <c r="N17" s="10">
        <v>20083</v>
      </c>
      <c r="O17" s="19">
        <v>43525</v>
      </c>
      <c r="P17" s="22">
        <v>240608</v>
      </c>
      <c r="Q17" s="6"/>
    </row>
    <row r="18" spans="1:17" ht="24.95" customHeight="1" x14ac:dyDescent="0.2">
      <c r="A18" s="11" t="s">
        <v>265</v>
      </c>
      <c r="B18" s="9" t="s">
        <v>612</v>
      </c>
      <c r="C18" s="9" t="s">
        <v>612</v>
      </c>
      <c r="D18" s="9">
        <v>0</v>
      </c>
      <c r="E18" s="18">
        <v>218</v>
      </c>
      <c r="F18" s="21">
        <v>1562</v>
      </c>
      <c r="G18" s="9">
        <v>1047</v>
      </c>
      <c r="H18" s="9">
        <v>1168</v>
      </c>
      <c r="I18" s="9">
        <v>604</v>
      </c>
      <c r="J18" s="18">
        <v>3319</v>
      </c>
      <c r="K18" s="9">
        <v>2337</v>
      </c>
      <c r="L18" s="9">
        <v>1570</v>
      </c>
      <c r="M18" s="9">
        <v>6592</v>
      </c>
      <c r="N18" s="9">
        <v>12458</v>
      </c>
      <c r="O18" s="18">
        <v>32831</v>
      </c>
      <c r="P18" s="21">
        <v>64064</v>
      </c>
      <c r="Q18" s="38" t="s">
        <v>445</v>
      </c>
    </row>
    <row r="19" spans="1:17" ht="24.95" customHeight="1" x14ac:dyDescent="0.2">
      <c r="A19" s="11" t="s">
        <v>266</v>
      </c>
      <c r="B19" s="9">
        <v>707</v>
      </c>
      <c r="C19" s="9">
        <v>11982</v>
      </c>
      <c r="D19" s="9">
        <v>943</v>
      </c>
      <c r="E19" s="18">
        <v>18073</v>
      </c>
      <c r="F19" s="21">
        <v>38099</v>
      </c>
      <c r="G19" s="9">
        <v>14602</v>
      </c>
      <c r="H19" s="9">
        <v>6440</v>
      </c>
      <c r="I19" s="9">
        <v>6244</v>
      </c>
      <c r="J19" s="18">
        <v>21329</v>
      </c>
      <c r="K19" s="9">
        <v>6219</v>
      </c>
      <c r="L19" s="9">
        <v>8707</v>
      </c>
      <c r="M19" s="9">
        <v>15549</v>
      </c>
      <c r="N19" s="9">
        <v>20405</v>
      </c>
      <c r="O19" s="18">
        <v>47604</v>
      </c>
      <c r="P19" s="21">
        <v>216903</v>
      </c>
    </row>
    <row r="20" spans="1:17" ht="24.95" customHeight="1" x14ac:dyDescent="0.2">
      <c r="A20" s="11" t="s">
        <v>267</v>
      </c>
      <c r="B20" s="9">
        <v>714</v>
      </c>
      <c r="C20" s="9">
        <v>12355</v>
      </c>
      <c r="D20" s="9">
        <v>954</v>
      </c>
      <c r="E20" s="18">
        <v>18339</v>
      </c>
      <c r="F20" s="21">
        <v>41519</v>
      </c>
      <c r="G20" s="9">
        <v>15416</v>
      </c>
      <c r="H20" s="9">
        <v>7279</v>
      </c>
      <c r="I20" s="9">
        <v>6752</v>
      </c>
      <c r="J20" s="18">
        <v>22254</v>
      </c>
      <c r="K20" s="9">
        <v>6939</v>
      </c>
      <c r="L20" s="9">
        <v>8869</v>
      </c>
      <c r="M20" s="9">
        <v>17709</v>
      </c>
      <c r="N20" s="9">
        <v>22784</v>
      </c>
      <c r="O20" s="18">
        <v>54623</v>
      </c>
      <c r="P20" s="21">
        <v>236506</v>
      </c>
      <c r="Q20" s="2"/>
    </row>
    <row r="21" spans="1:17" ht="24.95" customHeight="1" x14ac:dyDescent="0.25">
      <c r="A21" s="12" t="s">
        <v>268</v>
      </c>
      <c r="B21" s="10" t="s">
        <v>612</v>
      </c>
      <c r="C21" s="10" t="s">
        <v>612</v>
      </c>
      <c r="D21" s="10">
        <v>1897</v>
      </c>
      <c r="E21" s="19">
        <v>36630</v>
      </c>
      <c r="F21" s="22">
        <v>81180</v>
      </c>
      <c r="G21" s="10">
        <v>31065</v>
      </c>
      <c r="H21" s="10">
        <v>14887</v>
      </c>
      <c r="I21" s="10">
        <v>13600</v>
      </c>
      <c r="J21" s="19">
        <v>46902</v>
      </c>
      <c r="K21" s="10">
        <v>15495</v>
      </c>
      <c r="L21" s="10">
        <v>19146</v>
      </c>
      <c r="M21" s="10">
        <v>39850</v>
      </c>
      <c r="N21" s="10">
        <v>55647</v>
      </c>
      <c r="O21" s="19">
        <v>135058</v>
      </c>
      <c r="P21" s="22">
        <v>517473</v>
      </c>
      <c r="Q21" s="38" t="s">
        <v>445</v>
      </c>
    </row>
    <row r="22" spans="1:17" ht="24.95" customHeight="1" x14ac:dyDescent="0.25">
      <c r="A22" s="12" t="s">
        <v>269</v>
      </c>
      <c r="B22" s="10">
        <v>4144</v>
      </c>
      <c r="C22" s="10">
        <v>73195</v>
      </c>
      <c r="D22" s="10">
        <v>5228</v>
      </c>
      <c r="E22" s="19">
        <v>105663</v>
      </c>
      <c r="F22" s="22">
        <v>308689</v>
      </c>
      <c r="G22" s="10">
        <v>93565</v>
      </c>
      <c r="H22" s="10">
        <v>52561</v>
      </c>
      <c r="I22" s="10">
        <v>44333</v>
      </c>
      <c r="J22" s="19">
        <v>141107</v>
      </c>
      <c r="K22" s="10">
        <v>49134</v>
      </c>
      <c r="L22" s="10">
        <v>57289</v>
      </c>
      <c r="M22" s="10">
        <v>127396</v>
      </c>
      <c r="N22" s="10">
        <v>178255</v>
      </c>
      <c r="O22" s="19">
        <v>424532</v>
      </c>
      <c r="P22" s="22">
        <v>1665091</v>
      </c>
      <c r="Q22" s="6"/>
    </row>
    <row r="23" spans="1:17" ht="24.95" customHeight="1" x14ac:dyDescent="0.2">
      <c r="A23" s="11" t="s">
        <v>272</v>
      </c>
      <c r="B23" s="9">
        <v>130732</v>
      </c>
      <c r="C23" s="9">
        <v>50830</v>
      </c>
      <c r="D23" s="9">
        <v>56401</v>
      </c>
      <c r="E23" s="18">
        <v>337941</v>
      </c>
      <c r="F23" s="21">
        <v>238437</v>
      </c>
      <c r="G23" s="9">
        <v>220956</v>
      </c>
      <c r="H23" s="9">
        <v>38807</v>
      </c>
      <c r="I23" s="9">
        <v>75427</v>
      </c>
      <c r="J23" s="18">
        <v>375545</v>
      </c>
      <c r="K23" s="9">
        <v>98470</v>
      </c>
      <c r="L23" s="9">
        <v>174256</v>
      </c>
      <c r="M23" s="9">
        <v>158454</v>
      </c>
      <c r="N23" s="9">
        <v>167059</v>
      </c>
      <c r="O23" s="18">
        <v>354147</v>
      </c>
      <c r="P23" s="21">
        <v>2477462</v>
      </c>
      <c r="Q23" s="2"/>
    </row>
    <row r="24" spans="1:17" ht="24.95" customHeight="1" x14ac:dyDescent="0.2">
      <c r="A24" s="11" t="s">
        <v>274</v>
      </c>
      <c r="B24" s="9">
        <v>23262</v>
      </c>
      <c r="C24" s="9">
        <v>9516</v>
      </c>
      <c r="D24" s="9">
        <v>12138</v>
      </c>
      <c r="E24" s="18">
        <v>81611</v>
      </c>
      <c r="F24" s="21">
        <v>51191</v>
      </c>
      <c r="G24" s="9">
        <v>55929</v>
      </c>
      <c r="H24" s="9">
        <v>8106</v>
      </c>
      <c r="I24" s="9">
        <v>19148</v>
      </c>
      <c r="J24" s="18">
        <v>88520</v>
      </c>
      <c r="K24" s="9">
        <v>21912</v>
      </c>
      <c r="L24" s="9">
        <v>37676</v>
      </c>
      <c r="M24" s="9">
        <v>35383</v>
      </c>
      <c r="N24" s="9">
        <v>36234</v>
      </c>
      <c r="O24" s="18">
        <v>82010</v>
      </c>
      <c r="P24" s="21">
        <v>562636</v>
      </c>
      <c r="Q24" s="2"/>
    </row>
    <row r="25" spans="1:17" ht="24.95" customHeight="1" x14ac:dyDescent="0.2">
      <c r="A25" s="11" t="s">
        <v>273</v>
      </c>
      <c r="B25" s="9">
        <v>4491</v>
      </c>
      <c r="C25" s="9">
        <v>1892</v>
      </c>
      <c r="D25" s="9">
        <v>2797</v>
      </c>
      <c r="E25" s="18">
        <v>12065</v>
      </c>
      <c r="F25" s="21">
        <v>9487</v>
      </c>
      <c r="G25" s="9">
        <v>7096</v>
      </c>
      <c r="H25" s="9">
        <v>1249</v>
      </c>
      <c r="I25" s="9">
        <v>2639</v>
      </c>
      <c r="J25" s="18">
        <v>12059</v>
      </c>
      <c r="K25" s="9">
        <v>3549</v>
      </c>
      <c r="L25" s="9">
        <v>6499</v>
      </c>
      <c r="M25" s="9">
        <v>5825</v>
      </c>
      <c r="N25" s="9">
        <v>5842</v>
      </c>
      <c r="O25" s="18">
        <v>12975</v>
      </c>
      <c r="P25" s="21">
        <v>88465</v>
      </c>
      <c r="Q25" s="2"/>
    </row>
    <row r="26" spans="1:17" ht="24.95" customHeight="1" x14ac:dyDescent="0.2">
      <c r="A26" s="11" t="s">
        <v>277</v>
      </c>
      <c r="B26" s="9">
        <v>129689</v>
      </c>
      <c r="C26" s="9">
        <v>69243</v>
      </c>
      <c r="D26" s="9">
        <v>51408</v>
      </c>
      <c r="E26" s="18">
        <v>360879</v>
      </c>
      <c r="F26" s="21">
        <v>353673</v>
      </c>
      <c r="G26" s="9">
        <v>279533</v>
      </c>
      <c r="H26" s="9">
        <v>58738</v>
      </c>
      <c r="I26" s="9">
        <v>108789</v>
      </c>
      <c r="J26" s="18">
        <v>509371</v>
      </c>
      <c r="K26" s="9">
        <v>116416</v>
      </c>
      <c r="L26" s="9">
        <v>175392</v>
      </c>
      <c r="M26" s="9">
        <v>213880</v>
      </c>
      <c r="N26" s="9">
        <v>216338</v>
      </c>
      <c r="O26" s="18">
        <v>485820</v>
      </c>
      <c r="P26" s="21">
        <v>3129169</v>
      </c>
      <c r="Q26" s="2"/>
    </row>
    <row r="27" spans="1:17" ht="24.95" customHeight="1" x14ac:dyDescent="0.2">
      <c r="A27" s="11" t="s">
        <v>275</v>
      </c>
      <c r="B27" s="9">
        <v>15948</v>
      </c>
      <c r="C27" s="9">
        <v>7278</v>
      </c>
      <c r="D27" s="9">
        <v>12106</v>
      </c>
      <c r="E27" s="18">
        <v>43728</v>
      </c>
      <c r="F27" s="21">
        <v>32006</v>
      </c>
      <c r="G27" s="9">
        <v>23792</v>
      </c>
      <c r="H27" s="9">
        <v>3314</v>
      </c>
      <c r="I27" s="9">
        <v>6966</v>
      </c>
      <c r="J27" s="18">
        <v>29937</v>
      </c>
      <c r="K27" s="9">
        <v>6859</v>
      </c>
      <c r="L27" s="9">
        <v>11038</v>
      </c>
      <c r="M27" s="9">
        <v>17861</v>
      </c>
      <c r="N27" s="9">
        <v>12831</v>
      </c>
      <c r="O27" s="18">
        <v>23231</v>
      </c>
      <c r="P27" s="21">
        <v>246895</v>
      </c>
      <c r="Q27" s="2"/>
    </row>
    <row r="28" spans="1:17" ht="24.95" customHeight="1" x14ac:dyDescent="0.25">
      <c r="A28" s="12" t="s">
        <v>278</v>
      </c>
      <c r="B28" s="10">
        <v>304122</v>
      </c>
      <c r="C28" s="10">
        <v>138759</v>
      </c>
      <c r="D28" s="10">
        <v>134850</v>
      </c>
      <c r="E28" s="19">
        <v>836224</v>
      </c>
      <c r="F28" s="22">
        <v>684794</v>
      </c>
      <c r="G28" s="10">
        <v>587306</v>
      </c>
      <c r="H28" s="10">
        <v>110214</v>
      </c>
      <c r="I28" s="10">
        <v>212969</v>
      </c>
      <c r="J28" s="19">
        <v>1015432</v>
      </c>
      <c r="K28" s="10">
        <v>247206</v>
      </c>
      <c r="L28" s="10">
        <v>404861</v>
      </c>
      <c r="M28" s="10">
        <v>431403</v>
      </c>
      <c r="N28" s="10">
        <v>438304</v>
      </c>
      <c r="O28" s="19">
        <v>958183</v>
      </c>
      <c r="P28" s="22">
        <v>6504627</v>
      </c>
      <c r="Q28" s="6"/>
    </row>
    <row r="29" spans="1:17" ht="24.95" customHeight="1" x14ac:dyDescent="0.2">
      <c r="A29" s="11" t="s">
        <v>468</v>
      </c>
      <c r="B29" s="9" t="s">
        <v>612</v>
      </c>
      <c r="C29" s="9" t="s">
        <v>612</v>
      </c>
      <c r="D29" s="9">
        <v>51</v>
      </c>
      <c r="E29" s="18">
        <v>1001</v>
      </c>
      <c r="F29" s="21">
        <v>15375</v>
      </c>
      <c r="G29" s="9">
        <v>2496</v>
      </c>
      <c r="H29" s="9">
        <v>162</v>
      </c>
      <c r="I29" s="9">
        <v>1153</v>
      </c>
      <c r="J29" s="18">
        <v>4872</v>
      </c>
      <c r="K29" s="9">
        <v>43</v>
      </c>
      <c r="L29" s="9">
        <v>104</v>
      </c>
      <c r="M29" s="9">
        <v>160</v>
      </c>
      <c r="N29" s="9">
        <v>51</v>
      </c>
      <c r="O29" s="18" t="s">
        <v>612</v>
      </c>
      <c r="P29" s="21">
        <v>26481</v>
      </c>
      <c r="Q29" s="38" t="s">
        <v>496</v>
      </c>
    </row>
    <row r="30" spans="1:17" ht="24.95" customHeight="1" x14ac:dyDescent="0.2">
      <c r="A30" s="11" t="s">
        <v>470</v>
      </c>
      <c r="B30" s="9">
        <v>77</v>
      </c>
      <c r="C30" s="9" t="s">
        <v>612</v>
      </c>
      <c r="D30" s="9">
        <v>189</v>
      </c>
      <c r="E30" s="18">
        <v>11789</v>
      </c>
      <c r="F30" s="21">
        <v>170216</v>
      </c>
      <c r="G30" s="9">
        <v>18841</v>
      </c>
      <c r="H30" s="9">
        <v>3941</v>
      </c>
      <c r="I30" s="9">
        <v>14149</v>
      </c>
      <c r="J30" s="18">
        <v>56069</v>
      </c>
      <c r="K30" s="9" t="s">
        <v>612</v>
      </c>
      <c r="L30" s="9">
        <v>585</v>
      </c>
      <c r="M30" s="9">
        <v>6978</v>
      </c>
      <c r="N30" s="9">
        <v>442</v>
      </c>
      <c r="O30" s="18" t="s">
        <v>612</v>
      </c>
      <c r="P30" s="21">
        <v>301207</v>
      </c>
      <c r="Q30" s="38" t="s">
        <v>497</v>
      </c>
    </row>
    <row r="31" spans="1:17" ht="24.95" customHeight="1" x14ac:dyDescent="0.25">
      <c r="A31" s="12" t="s">
        <v>294</v>
      </c>
      <c r="B31" s="10" t="s">
        <v>612</v>
      </c>
      <c r="C31" s="10">
        <v>469</v>
      </c>
      <c r="D31" s="10">
        <v>240</v>
      </c>
      <c r="E31" s="19">
        <v>12790</v>
      </c>
      <c r="F31" s="22">
        <v>185591</v>
      </c>
      <c r="G31" s="10">
        <v>21337</v>
      </c>
      <c r="H31" s="10">
        <v>4103</v>
      </c>
      <c r="I31" s="10">
        <v>15302</v>
      </c>
      <c r="J31" s="19">
        <v>60941</v>
      </c>
      <c r="K31" s="10" t="s">
        <v>612</v>
      </c>
      <c r="L31" s="10">
        <v>689</v>
      </c>
      <c r="M31" s="10">
        <v>7138</v>
      </c>
      <c r="N31" s="10">
        <v>493</v>
      </c>
      <c r="O31" s="19">
        <v>15461</v>
      </c>
      <c r="P31" s="22">
        <v>327688</v>
      </c>
      <c r="Q31" s="6" t="s">
        <v>498</v>
      </c>
    </row>
    <row r="32" spans="1:17" ht="24.95" customHeight="1" x14ac:dyDescent="0.2">
      <c r="A32" s="11" t="s">
        <v>472</v>
      </c>
      <c r="B32" s="9">
        <v>1800</v>
      </c>
      <c r="C32" s="9">
        <v>3287</v>
      </c>
      <c r="D32" s="9">
        <v>4451</v>
      </c>
      <c r="E32" s="18">
        <v>52986</v>
      </c>
      <c r="F32" s="21">
        <v>1871220</v>
      </c>
      <c r="G32" s="9">
        <v>507103</v>
      </c>
      <c r="H32" s="9">
        <v>264045</v>
      </c>
      <c r="I32" s="9">
        <v>306277</v>
      </c>
      <c r="J32" s="18">
        <v>1408808</v>
      </c>
      <c r="K32" s="9">
        <v>7034</v>
      </c>
      <c r="L32" s="9">
        <v>5938</v>
      </c>
      <c r="M32" s="9">
        <v>127127</v>
      </c>
      <c r="N32" s="9">
        <v>567511</v>
      </c>
      <c r="O32" s="18">
        <v>588100</v>
      </c>
      <c r="P32" s="21">
        <v>5715687</v>
      </c>
      <c r="Q32" s="2"/>
    </row>
    <row r="33" spans="1:17" ht="24.95" customHeight="1" x14ac:dyDescent="0.2">
      <c r="A33" s="11" t="s">
        <v>473</v>
      </c>
      <c r="B33" s="9" t="s">
        <v>612</v>
      </c>
      <c r="C33" s="9">
        <v>510</v>
      </c>
      <c r="D33" s="9">
        <v>657</v>
      </c>
      <c r="E33" s="18">
        <v>1592</v>
      </c>
      <c r="F33" s="21">
        <v>1478</v>
      </c>
      <c r="G33" s="9">
        <v>128428</v>
      </c>
      <c r="H33" s="9">
        <v>96640</v>
      </c>
      <c r="I33" s="9">
        <v>174200</v>
      </c>
      <c r="J33" s="18" t="s">
        <v>612</v>
      </c>
      <c r="K33" s="9">
        <v>136379</v>
      </c>
      <c r="L33" s="9">
        <v>247</v>
      </c>
      <c r="M33" s="9">
        <v>85162</v>
      </c>
      <c r="N33" s="9">
        <v>89541</v>
      </c>
      <c r="O33" s="18">
        <v>282307</v>
      </c>
      <c r="P33" s="21">
        <v>1062032</v>
      </c>
      <c r="Q33" s="38" t="s">
        <v>474</v>
      </c>
    </row>
    <row r="34" spans="1:17" ht="24.95" customHeight="1" x14ac:dyDescent="0.2">
      <c r="A34" s="11" t="s">
        <v>475</v>
      </c>
      <c r="B34" s="9" t="s">
        <v>612</v>
      </c>
      <c r="C34" s="9">
        <v>1502</v>
      </c>
      <c r="D34" s="9">
        <v>929</v>
      </c>
      <c r="E34" s="18">
        <v>4778</v>
      </c>
      <c r="F34" s="21">
        <v>147138</v>
      </c>
      <c r="G34" s="9">
        <v>1743551</v>
      </c>
      <c r="H34" s="9">
        <v>274727</v>
      </c>
      <c r="I34" s="9">
        <v>518016</v>
      </c>
      <c r="J34" s="18" t="s">
        <v>612</v>
      </c>
      <c r="K34" s="9">
        <v>857489</v>
      </c>
      <c r="L34" s="9">
        <v>822</v>
      </c>
      <c r="M34" s="9">
        <v>3728</v>
      </c>
      <c r="N34" s="9">
        <v>7633</v>
      </c>
      <c r="O34" s="18">
        <v>664485</v>
      </c>
      <c r="P34" s="21">
        <v>5099081</v>
      </c>
      <c r="Q34" s="38" t="s">
        <v>476</v>
      </c>
    </row>
    <row r="35" spans="1:17" ht="24.95" customHeight="1" x14ac:dyDescent="0.25">
      <c r="A35" s="12" t="s">
        <v>306</v>
      </c>
      <c r="B35" s="10">
        <v>3035</v>
      </c>
      <c r="C35" s="10">
        <v>5299</v>
      </c>
      <c r="D35" s="10">
        <v>6037</v>
      </c>
      <c r="E35" s="19">
        <v>59356</v>
      </c>
      <c r="F35" s="22">
        <v>2019836</v>
      </c>
      <c r="G35" s="10">
        <v>2379082</v>
      </c>
      <c r="H35" s="10">
        <v>635412</v>
      </c>
      <c r="I35" s="10">
        <v>998493</v>
      </c>
      <c r="J35" s="19">
        <v>2346747</v>
      </c>
      <c r="K35" s="10">
        <v>1000902</v>
      </c>
      <c r="L35" s="10">
        <v>7007</v>
      </c>
      <c r="M35" s="10">
        <v>216017</v>
      </c>
      <c r="N35" s="10">
        <v>664685</v>
      </c>
      <c r="O35" s="19">
        <v>1534892</v>
      </c>
      <c r="P35" s="22">
        <v>11876800</v>
      </c>
      <c r="Q35" s="6"/>
    </row>
    <row r="36" spans="1:17" ht="24.95" customHeight="1" x14ac:dyDescent="0.25">
      <c r="A36" s="12" t="s">
        <v>477</v>
      </c>
      <c r="B36" s="10">
        <v>80</v>
      </c>
      <c r="C36" s="10">
        <v>182</v>
      </c>
      <c r="D36" s="10">
        <v>100</v>
      </c>
      <c r="E36" s="19">
        <v>995</v>
      </c>
      <c r="F36" s="22">
        <v>1455</v>
      </c>
      <c r="G36" s="10">
        <v>955</v>
      </c>
      <c r="H36" s="10">
        <v>169</v>
      </c>
      <c r="I36" s="10">
        <v>546</v>
      </c>
      <c r="J36" s="19">
        <v>459</v>
      </c>
      <c r="K36" s="10">
        <v>163</v>
      </c>
      <c r="L36" s="10">
        <v>307</v>
      </c>
      <c r="M36" s="10">
        <v>591</v>
      </c>
      <c r="N36" s="10">
        <v>619</v>
      </c>
      <c r="O36" s="19">
        <v>732</v>
      </c>
      <c r="P36" s="22">
        <v>7353</v>
      </c>
      <c r="Q36" s="6"/>
    </row>
    <row r="37" spans="1:17" ht="24.95" customHeight="1" x14ac:dyDescent="0.25">
      <c r="A37" s="12" t="s">
        <v>309</v>
      </c>
      <c r="B37" s="10">
        <v>0</v>
      </c>
      <c r="C37" s="10" t="s">
        <v>612</v>
      </c>
      <c r="D37" s="10" t="s">
        <v>612</v>
      </c>
      <c r="E37" s="19">
        <v>1078</v>
      </c>
      <c r="F37" s="22">
        <v>3906</v>
      </c>
      <c r="G37" s="10">
        <v>2251</v>
      </c>
      <c r="H37" s="10">
        <v>702</v>
      </c>
      <c r="I37" s="10" t="s">
        <v>612</v>
      </c>
      <c r="J37" s="19">
        <v>1404</v>
      </c>
      <c r="K37" s="10">
        <v>581</v>
      </c>
      <c r="L37" s="10">
        <v>273</v>
      </c>
      <c r="M37" s="10" t="s">
        <v>612</v>
      </c>
      <c r="N37" s="10" t="s">
        <v>612</v>
      </c>
      <c r="O37" s="19">
        <v>795</v>
      </c>
      <c r="P37" s="22">
        <v>12459</v>
      </c>
      <c r="Q37" s="6" t="s">
        <v>478</v>
      </c>
    </row>
    <row r="38" spans="1:17" ht="24.95" customHeight="1" x14ac:dyDescent="0.25">
      <c r="A38" s="12" t="s">
        <v>310</v>
      </c>
      <c r="B38" s="10">
        <v>1005</v>
      </c>
      <c r="C38" s="10">
        <v>574</v>
      </c>
      <c r="D38" s="10">
        <v>408</v>
      </c>
      <c r="E38" s="19">
        <v>2979</v>
      </c>
      <c r="F38" s="22">
        <v>5303</v>
      </c>
      <c r="G38" s="10">
        <v>2948</v>
      </c>
      <c r="H38" s="10">
        <v>1605</v>
      </c>
      <c r="I38" s="10">
        <v>2271</v>
      </c>
      <c r="J38" s="19">
        <v>2474</v>
      </c>
      <c r="K38" s="10">
        <v>1538</v>
      </c>
      <c r="L38" s="10">
        <v>741</v>
      </c>
      <c r="M38" s="10">
        <v>2906</v>
      </c>
      <c r="N38" s="10">
        <v>2513</v>
      </c>
      <c r="O38" s="19">
        <v>2648</v>
      </c>
      <c r="P38" s="22">
        <v>29913</v>
      </c>
      <c r="Q38" s="6"/>
    </row>
    <row r="39" spans="1:17" ht="24.95" customHeight="1" x14ac:dyDescent="0.25">
      <c r="A39" s="12" t="s">
        <v>312</v>
      </c>
      <c r="B39" s="10" t="s">
        <v>612</v>
      </c>
      <c r="C39" s="10" t="s">
        <v>612</v>
      </c>
      <c r="D39" s="10">
        <v>11</v>
      </c>
      <c r="E39" s="19">
        <v>119</v>
      </c>
      <c r="F39" s="22">
        <v>212</v>
      </c>
      <c r="G39" s="10">
        <v>126</v>
      </c>
      <c r="H39" s="10">
        <v>51</v>
      </c>
      <c r="I39" s="10">
        <v>49</v>
      </c>
      <c r="J39" s="19">
        <v>184</v>
      </c>
      <c r="K39" s="10">
        <v>40</v>
      </c>
      <c r="L39" s="10">
        <v>49</v>
      </c>
      <c r="M39" s="10">
        <v>85</v>
      </c>
      <c r="N39" s="10">
        <v>91</v>
      </c>
      <c r="O39" s="19">
        <v>171</v>
      </c>
      <c r="P39" s="22">
        <v>1193</v>
      </c>
      <c r="Q39" s="6" t="s">
        <v>445</v>
      </c>
    </row>
    <row r="40" spans="1:17" ht="24.95" customHeight="1" x14ac:dyDescent="0.25">
      <c r="A40" s="12" t="s">
        <v>314</v>
      </c>
      <c r="B40" s="10" t="s">
        <v>612</v>
      </c>
      <c r="C40" s="10">
        <v>11</v>
      </c>
      <c r="D40" s="10" t="s">
        <v>612</v>
      </c>
      <c r="E40" s="19">
        <v>253</v>
      </c>
      <c r="F40" s="22">
        <v>376</v>
      </c>
      <c r="G40" s="10">
        <v>192</v>
      </c>
      <c r="H40" s="10">
        <v>125</v>
      </c>
      <c r="I40" s="10">
        <v>168</v>
      </c>
      <c r="J40" s="19">
        <v>147</v>
      </c>
      <c r="K40" s="10">
        <v>78</v>
      </c>
      <c r="L40" s="10">
        <v>76</v>
      </c>
      <c r="M40" s="10">
        <v>221</v>
      </c>
      <c r="N40" s="10">
        <v>173</v>
      </c>
      <c r="O40" s="19">
        <v>305</v>
      </c>
      <c r="P40" s="22">
        <v>2148</v>
      </c>
      <c r="Q40" s="6"/>
    </row>
    <row r="41" spans="1:17" ht="24.95" customHeight="1" thickBot="1" x14ac:dyDescent="0.3">
      <c r="A41" s="30" t="s">
        <v>315</v>
      </c>
      <c r="B41" s="10" t="s">
        <v>612</v>
      </c>
      <c r="C41" s="10">
        <v>42</v>
      </c>
      <c r="D41" s="10" t="s">
        <v>612</v>
      </c>
      <c r="E41" s="19">
        <v>1026</v>
      </c>
      <c r="F41" s="22">
        <v>650</v>
      </c>
      <c r="G41" s="10">
        <v>827</v>
      </c>
      <c r="H41" s="10">
        <v>114</v>
      </c>
      <c r="I41" s="10">
        <v>223</v>
      </c>
      <c r="J41" s="19">
        <v>255</v>
      </c>
      <c r="K41" s="10">
        <v>185</v>
      </c>
      <c r="L41" s="10">
        <v>233</v>
      </c>
      <c r="M41" s="10">
        <v>156</v>
      </c>
      <c r="N41" s="10">
        <v>168</v>
      </c>
      <c r="O41" s="19">
        <v>303</v>
      </c>
      <c r="P41" s="22">
        <v>4218</v>
      </c>
      <c r="Q41" s="6" t="s">
        <v>467</v>
      </c>
    </row>
  </sheetData>
  <hyperlinks>
    <hyperlink ref="A5" r:id="rId1" xr:uid="{00000000-0004-0000-1400-000000000000}"/>
  </hyperlinks>
  <pageMargins left="0.7" right="0.7" top="0.75" bottom="0.75" header="0.3" footer="0.3"/>
  <pageSetup paperSize="9" orientation="portrait" horizontalDpi="300" verticalDpi="300"/>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34"/>
  <sheetViews>
    <sheetView showGridLines="0" zoomScaleNormal="100" workbookViewId="0"/>
  </sheetViews>
  <sheetFormatPr defaultColWidth="11.5546875" defaultRowHeight="15" x14ac:dyDescent="0.2"/>
  <cols>
    <col min="1" max="1" width="50.6640625" customWidth="1"/>
    <col min="2" max="99" width="15.6640625" customWidth="1"/>
  </cols>
  <sheetData>
    <row r="1" spans="1:16" ht="20.25" x14ac:dyDescent="0.3">
      <c r="A1" s="4" t="s">
        <v>628</v>
      </c>
    </row>
    <row r="2" spans="1:16" x14ac:dyDescent="0.2">
      <c r="A2" t="s">
        <v>37</v>
      </c>
    </row>
    <row r="3" spans="1:16" x14ac:dyDescent="0.2">
      <c r="A3" t="s">
        <v>139</v>
      </c>
    </row>
    <row r="4" spans="1:16" x14ac:dyDescent="0.2">
      <c r="A4" s="7" t="str">
        <f>HYPERLINK("#Notes!A1", "Link to Notes table")</f>
        <v>Link to Notes table</v>
      </c>
    </row>
    <row r="5" spans="1:16" ht="15.75" thickBot="1" x14ac:dyDescent="0.25">
      <c r="A5" s="7" t="s">
        <v>140</v>
      </c>
    </row>
    <row r="6" spans="1:16" ht="79.5" thickBot="1" x14ac:dyDescent="0.3">
      <c r="A6" s="14" t="s">
        <v>317</v>
      </c>
      <c r="B6" s="15" t="s">
        <v>427</v>
      </c>
      <c r="C6" s="15" t="s">
        <v>428</v>
      </c>
      <c r="D6" s="15" t="s">
        <v>429</v>
      </c>
      <c r="E6" s="17" t="s">
        <v>430</v>
      </c>
      <c r="F6" s="20" t="s">
        <v>431</v>
      </c>
      <c r="G6" s="15" t="s">
        <v>432</v>
      </c>
      <c r="H6" s="15" t="s">
        <v>433</v>
      </c>
      <c r="I6" s="15" t="s">
        <v>434</v>
      </c>
      <c r="J6" s="17" t="s">
        <v>435</v>
      </c>
      <c r="K6" s="15" t="s">
        <v>436</v>
      </c>
      <c r="L6" s="15" t="s">
        <v>437</v>
      </c>
      <c r="M6" s="15" t="s">
        <v>438</v>
      </c>
      <c r="N6" s="15" t="s">
        <v>439</v>
      </c>
      <c r="O6" s="17" t="s">
        <v>440</v>
      </c>
      <c r="P6" s="31" t="s">
        <v>441</v>
      </c>
    </row>
    <row r="7" spans="1:16" ht="24.95" customHeight="1" x14ac:dyDescent="0.2">
      <c r="A7" s="11" t="s">
        <v>318</v>
      </c>
      <c r="B7" s="9">
        <v>169</v>
      </c>
      <c r="C7" s="9">
        <v>354</v>
      </c>
      <c r="D7" s="9">
        <v>191</v>
      </c>
      <c r="E7" s="18">
        <v>1112</v>
      </c>
      <c r="F7" s="21">
        <v>1696</v>
      </c>
      <c r="G7" s="9">
        <v>825</v>
      </c>
      <c r="H7" s="9">
        <v>335</v>
      </c>
      <c r="I7" s="9">
        <v>319</v>
      </c>
      <c r="J7" s="18">
        <v>613</v>
      </c>
      <c r="K7" s="9">
        <v>321</v>
      </c>
      <c r="L7" s="9">
        <v>382</v>
      </c>
      <c r="M7" s="9">
        <v>648</v>
      </c>
      <c r="N7" s="9">
        <v>740</v>
      </c>
      <c r="O7" s="18">
        <v>1118</v>
      </c>
      <c r="P7" s="9">
        <v>8823</v>
      </c>
    </row>
    <row r="8" spans="1:16" ht="24.95" customHeight="1" x14ac:dyDescent="0.2">
      <c r="A8" s="11" t="s">
        <v>319</v>
      </c>
      <c r="B8" s="9">
        <v>282</v>
      </c>
      <c r="C8" s="9">
        <v>194</v>
      </c>
      <c r="D8" s="9">
        <v>490</v>
      </c>
      <c r="E8" s="18">
        <v>1147</v>
      </c>
      <c r="F8" s="21">
        <v>818</v>
      </c>
      <c r="G8" s="9">
        <v>342</v>
      </c>
      <c r="H8" s="9">
        <v>105</v>
      </c>
      <c r="I8" s="9">
        <v>117</v>
      </c>
      <c r="J8" s="18">
        <v>264</v>
      </c>
      <c r="K8" s="9">
        <v>140</v>
      </c>
      <c r="L8" s="9">
        <v>217</v>
      </c>
      <c r="M8" s="9">
        <v>297</v>
      </c>
      <c r="N8" s="9">
        <v>270</v>
      </c>
      <c r="O8" s="18">
        <v>438</v>
      </c>
      <c r="P8" s="9">
        <v>5121</v>
      </c>
    </row>
    <row r="9" spans="1:16" ht="24.95" customHeight="1" x14ac:dyDescent="0.2">
      <c r="A9" s="11" t="s">
        <v>320</v>
      </c>
      <c r="B9" s="9">
        <v>691</v>
      </c>
      <c r="C9" s="9">
        <v>431</v>
      </c>
      <c r="D9" s="9">
        <v>1842</v>
      </c>
      <c r="E9" s="18">
        <v>3054</v>
      </c>
      <c r="F9" s="21">
        <v>2203</v>
      </c>
      <c r="G9" s="9">
        <v>861</v>
      </c>
      <c r="H9" s="9">
        <v>342</v>
      </c>
      <c r="I9" s="9">
        <v>302</v>
      </c>
      <c r="J9" s="18">
        <v>685</v>
      </c>
      <c r="K9" s="9">
        <v>344</v>
      </c>
      <c r="L9" s="9">
        <v>596</v>
      </c>
      <c r="M9" s="9">
        <v>668</v>
      </c>
      <c r="N9" s="9">
        <v>633</v>
      </c>
      <c r="O9" s="18">
        <v>1088</v>
      </c>
      <c r="P9" s="9">
        <v>13740</v>
      </c>
    </row>
    <row r="10" spans="1:16" ht="24.95" customHeight="1" x14ac:dyDescent="0.25">
      <c r="A10" s="12" t="s">
        <v>321</v>
      </c>
      <c r="B10" s="10">
        <v>1009</v>
      </c>
      <c r="C10" s="10">
        <v>766</v>
      </c>
      <c r="D10" s="10">
        <v>2362</v>
      </c>
      <c r="E10" s="19">
        <v>4660</v>
      </c>
      <c r="F10" s="22">
        <v>3931</v>
      </c>
      <c r="G10" s="10">
        <v>1665</v>
      </c>
      <c r="H10" s="10">
        <v>636</v>
      </c>
      <c r="I10" s="10">
        <v>612</v>
      </c>
      <c r="J10" s="19">
        <v>1270</v>
      </c>
      <c r="K10" s="10">
        <v>660</v>
      </c>
      <c r="L10" s="10">
        <v>1013</v>
      </c>
      <c r="M10" s="10">
        <v>1322</v>
      </c>
      <c r="N10" s="10">
        <v>1342</v>
      </c>
      <c r="O10" s="19">
        <v>2121</v>
      </c>
      <c r="P10" s="10">
        <v>23369</v>
      </c>
    </row>
    <row r="11" spans="1:16" ht="24.95" customHeight="1" x14ac:dyDescent="0.2">
      <c r="A11" s="11" t="s">
        <v>322</v>
      </c>
      <c r="B11" s="9">
        <v>234</v>
      </c>
      <c r="C11" s="9">
        <v>444</v>
      </c>
      <c r="D11" s="9">
        <v>816</v>
      </c>
      <c r="E11" s="18">
        <v>1841</v>
      </c>
      <c r="F11" s="21">
        <v>2176</v>
      </c>
      <c r="G11" s="9">
        <v>831</v>
      </c>
      <c r="H11" s="9">
        <v>321</v>
      </c>
      <c r="I11" s="9">
        <v>333</v>
      </c>
      <c r="J11" s="18">
        <v>580</v>
      </c>
      <c r="K11" s="9">
        <v>344</v>
      </c>
      <c r="L11" s="9">
        <v>392</v>
      </c>
      <c r="M11" s="9">
        <v>630</v>
      </c>
      <c r="N11" s="9">
        <v>634</v>
      </c>
      <c r="O11" s="18">
        <v>874</v>
      </c>
      <c r="P11" s="9">
        <v>10450</v>
      </c>
    </row>
    <row r="12" spans="1:16" ht="24.95" customHeight="1" x14ac:dyDescent="0.2">
      <c r="A12" s="11" t="s">
        <v>323</v>
      </c>
      <c r="B12" s="9">
        <v>9</v>
      </c>
      <c r="C12" s="9">
        <v>58</v>
      </c>
      <c r="D12" s="9">
        <v>11</v>
      </c>
      <c r="E12" s="18">
        <v>282</v>
      </c>
      <c r="F12" s="21">
        <v>451</v>
      </c>
      <c r="G12" s="9">
        <v>443</v>
      </c>
      <c r="H12" s="9">
        <v>143</v>
      </c>
      <c r="I12" s="9">
        <v>189</v>
      </c>
      <c r="J12" s="18">
        <v>304</v>
      </c>
      <c r="K12" s="9">
        <v>88</v>
      </c>
      <c r="L12" s="9">
        <v>113</v>
      </c>
      <c r="M12" s="9">
        <v>164</v>
      </c>
      <c r="N12" s="9">
        <v>170</v>
      </c>
      <c r="O12" s="18">
        <v>437</v>
      </c>
      <c r="P12" s="9">
        <v>2862</v>
      </c>
    </row>
    <row r="13" spans="1:16" ht="24.95" customHeight="1" x14ac:dyDescent="0.2">
      <c r="A13" s="11" t="s">
        <v>324</v>
      </c>
      <c r="B13" s="9">
        <v>21</v>
      </c>
      <c r="C13" s="9">
        <v>48</v>
      </c>
      <c r="D13" s="9">
        <v>31</v>
      </c>
      <c r="E13" s="18">
        <v>130</v>
      </c>
      <c r="F13" s="21">
        <v>197</v>
      </c>
      <c r="G13" s="9">
        <v>123</v>
      </c>
      <c r="H13" s="9">
        <v>52</v>
      </c>
      <c r="I13" s="9">
        <v>47</v>
      </c>
      <c r="J13" s="18">
        <v>82</v>
      </c>
      <c r="K13" s="9">
        <v>46</v>
      </c>
      <c r="L13" s="9">
        <v>67</v>
      </c>
      <c r="M13" s="9">
        <v>106</v>
      </c>
      <c r="N13" s="9">
        <v>122</v>
      </c>
      <c r="O13" s="18">
        <v>176</v>
      </c>
      <c r="P13" s="9">
        <v>1248</v>
      </c>
    </row>
    <row r="14" spans="1:16" ht="24.95" customHeight="1" x14ac:dyDescent="0.2">
      <c r="A14" s="11" t="s">
        <v>325</v>
      </c>
      <c r="B14" s="9">
        <v>20</v>
      </c>
      <c r="C14" s="9">
        <v>88</v>
      </c>
      <c r="D14" s="9">
        <v>28</v>
      </c>
      <c r="E14" s="18">
        <v>219</v>
      </c>
      <c r="F14" s="21">
        <v>455</v>
      </c>
      <c r="G14" s="9">
        <v>288</v>
      </c>
      <c r="H14" s="9">
        <v>105</v>
      </c>
      <c r="I14" s="9">
        <v>119</v>
      </c>
      <c r="J14" s="18">
        <v>198</v>
      </c>
      <c r="K14" s="9">
        <v>97</v>
      </c>
      <c r="L14" s="9">
        <v>79</v>
      </c>
      <c r="M14" s="9">
        <v>174</v>
      </c>
      <c r="N14" s="9">
        <v>228</v>
      </c>
      <c r="O14" s="18">
        <v>351</v>
      </c>
      <c r="P14" s="9">
        <v>2449</v>
      </c>
    </row>
    <row r="15" spans="1:16" ht="24.95" customHeight="1" x14ac:dyDescent="0.2">
      <c r="A15" s="11" t="s">
        <v>327</v>
      </c>
      <c r="B15" s="9" t="s">
        <v>612</v>
      </c>
      <c r="C15" s="9">
        <v>9</v>
      </c>
      <c r="D15" s="9" t="s">
        <v>612</v>
      </c>
      <c r="E15" s="18">
        <v>65</v>
      </c>
      <c r="F15" s="21">
        <v>94</v>
      </c>
      <c r="G15" s="9">
        <v>109</v>
      </c>
      <c r="H15" s="9">
        <v>53</v>
      </c>
      <c r="I15" s="9">
        <v>60</v>
      </c>
      <c r="J15" s="18">
        <v>50</v>
      </c>
      <c r="K15" s="9">
        <v>15</v>
      </c>
      <c r="L15" s="9">
        <v>36</v>
      </c>
      <c r="M15" s="9">
        <v>58</v>
      </c>
      <c r="N15" s="9">
        <v>44</v>
      </c>
      <c r="O15" s="18">
        <v>78</v>
      </c>
      <c r="P15" s="9">
        <v>678</v>
      </c>
    </row>
    <row r="16" spans="1:16" ht="23.1" customHeight="1" x14ac:dyDescent="0.2">
      <c r="A16" s="11" t="s">
        <v>328</v>
      </c>
      <c r="B16" s="9">
        <v>11</v>
      </c>
      <c r="C16" s="9">
        <v>13</v>
      </c>
      <c r="D16" s="9">
        <v>15</v>
      </c>
      <c r="E16" s="18">
        <v>79</v>
      </c>
      <c r="F16" s="21">
        <v>67</v>
      </c>
      <c r="G16" s="9">
        <v>60</v>
      </c>
      <c r="H16" s="9">
        <v>28</v>
      </c>
      <c r="I16" s="9">
        <v>21</v>
      </c>
      <c r="J16" s="18">
        <v>44</v>
      </c>
      <c r="K16" s="9">
        <v>22</v>
      </c>
      <c r="L16" s="9">
        <v>29</v>
      </c>
      <c r="M16" s="9">
        <v>36</v>
      </c>
      <c r="N16" s="9">
        <v>44</v>
      </c>
      <c r="O16" s="18">
        <v>78</v>
      </c>
      <c r="P16" s="9">
        <v>547</v>
      </c>
    </row>
    <row r="17" spans="1:17" ht="24.95" customHeight="1" x14ac:dyDescent="0.2">
      <c r="A17" s="11" t="s">
        <v>329</v>
      </c>
      <c r="B17" s="9">
        <v>5</v>
      </c>
      <c r="C17" s="9">
        <v>42</v>
      </c>
      <c r="D17" s="9">
        <v>8</v>
      </c>
      <c r="E17" s="18">
        <v>122</v>
      </c>
      <c r="F17" s="21">
        <v>205</v>
      </c>
      <c r="G17" s="9">
        <v>147</v>
      </c>
      <c r="H17" s="9">
        <v>50</v>
      </c>
      <c r="I17" s="9">
        <v>49</v>
      </c>
      <c r="J17" s="18">
        <v>96</v>
      </c>
      <c r="K17" s="9">
        <v>52</v>
      </c>
      <c r="L17" s="9">
        <v>41</v>
      </c>
      <c r="M17" s="9">
        <v>87</v>
      </c>
      <c r="N17" s="9">
        <v>89</v>
      </c>
      <c r="O17" s="18">
        <v>178</v>
      </c>
      <c r="P17" s="9">
        <v>1171</v>
      </c>
    </row>
    <row r="18" spans="1:17" ht="24.95" customHeight="1" x14ac:dyDescent="0.25">
      <c r="A18" s="12" t="s">
        <v>331</v>
      </c>
      <c r="B18" s="10">
        <v>57</v>
      </c>
      <c r="C18" s="10">
        <v>180</v>
      </c>
      <c r="D18" s="10">
        <v>76</v>
      </c>
      <c r="E18" s="19">
        <v>626</v>
      </c>
      <c r="F18" s="22">
        <v>1013</v>
      </c>
      <c r="G18" s="10">
        <v>750</v>
      </c>
      <c r="H18" s="10">
        <v>271</v>
      </c>
      <c r="I18" s="10">
        <v>306</v>
      </c>
      <c r="J18" s="19">
        <v>521</v>
      </c>
      <c r="K18" s="10">
        <v>214</v>
      </c>
      <c r="L18" s="10">
        <v>256</v>
      </c>
      <c r="M18" s="10">
        <v>418</v>
      </c>
      <c r="N18" s="10">
        <v>452</v>
      </c>
      <c r="O18" s="19">
        <v>839</v>
      </c>
      <c r="P18" s="10">
        <v>5979</v>
      </c>
    </row>
    <row r="19" spans="1:17" ht="24.95" customHeight="1" x14ac:dyDescent="0.2">
      <c r="A19" s="11" t="s">
        <v>332</v>
      </c>
      <c r="B19" s="9">
        <v>8</v>
      </c>
      <c r="C19" s="9">
        <v>37</v>
      </c>
      <c r="D19" s="9">
        <v>13</v>
      </c>
      <c r="E19" s="18">
        <v>141</v>
      </c>
      <c r="F19" s="21">
        <v>181</v>
      </c>
      <c r="G19" s="9">
        <v>173</v>
      </c>
      <c r="H19" s="9">
        <v>69</v>
      </c>
      <c r="I19" s="9">
        <v>76</v>
      </c>
      <c r="J19" s="18">
        <v>135</v>
      </c>
      <c r="K19" s="9">
        <v>57</v>
      </c>
      <c r="L19" s="9">
        <v>58</v>
      </c>
      <c r="M19" s="9">
        <v>104</v>
      </c>
      <c r="N19" s="9">
        <v>119</v>
      </c>
      <c r="O19" s="18">
        <v>200</v>
      </c>
      <c r="P19" s="9">
        <v>1371</v>
      </c>
    </row>
    <row r="20" spans="1:17" ht="24.95" customHeight="1" x14ac:dyDescent="0.2">
      <c r="A20" s="11" t="s">
        <v>333</v>
      </c>
      <c r="B20" s="9">
        <v>57</v>
      </c>
      <c r="C20" s="9">
        <v>54</v>
      </c>
      <c r="D20" s="9">
        <v>100</v>
      </c>
      <c r="E20" s="18">
        <v>231</v>
      </c>
      <c r="F20" s="21">
        <v>220</v>
      </c>
      <c r="G20" s="9">
        <v>82</v>
      </c>
      <c r="H20" s="9">
        <v>38</v>
      </c>
      <c r="I20" s="9">
        <v>35</v>
      </c>
      <c r="J20" s="18">
        <v>60</v>
      </c>
      <c r="K20" s="9">
        <v>41</v>
      </c>
      <c r="L20" s="9">
        <v>51</v>
      </c>
      <c r="M20" s="9">
        <v>90</v>
      </c>
      <c r="N20" s="9">
        <v>78</v>
      </c>
      <c r="O20" s="18">
        <v>120</v>
      </c>
      <c r="P20" s="9">
        <v>1257</v>
      </c>
    </row>
    <row r="21" spans="1:17" ht="24.95" customHeight="1" x14ac:dyDescent="0.2">
      <c r="A21" s="11" t="s">
        <v>334</v>
      </c>
      <c r="B21" s="9">
        <v>19</v>
      </c>
      <c r="C21" s="9">
        <v>43</v>
      </c>
      <c r="D21" s="9">
        <v>28</v>
      </c>
      <c r="E21" s="18">
        <v>128</v>
      </c>
      <c r="F21" s="21">
        <v>182</v>
      </c>
      <c r="G21" s="9">
        <v>106</v>
      </c>
      <c r="H21" s="9">
        <v>45</v>
      </c>
      <c r="I21" s="9">
        <v>33</v>
      </c>
      <c r="J21" s="18">
        <v>70</v>
      </c>
      <c r="K21" s="9">
        <v>24</v>
      </c>
      <c r="L21" s="9">
        <v>50</v>
      </c>
      <c r="M21" s="9">
        <v>72</v>
      </c>
      <c r="N21" s="9">
        <v>60</v>
      </c>
      <c r="O21" s="18">
        <v>98</v>
      </c>
      <c r="P21" s="9">
        <v>958</v>
      </c>
    </row>
    <row r="22" spans="1:17" ht="23.1" customHeight="1" x14ac:dyDescent="0.2">
      <c r="A22" s="11" t="s">
        <v>336</v>
      </c>
      <c r="B22" s="9">
        <v>7</v>
      </c>
      <c r="C22" s="9">
        <v>9</v>
      </c>
      <c r="D22" s="9">
        <v>7</v>
      </c>
      <c r="E22" s="18">
        <v>73</v>
      </c>
      <c r="F22" s="21">
        <v>117</v>
      </c>
      <c r="G22" s="9">
        <v>98</v>
      </c>
      <c r="H22" s="9">
        <v>35</v>
      </c>
      <c r="I22" s="9">
        <v>40</v>
      </c>
      <c r="J22" s="18">
        <v>54</v>
      </c>
      <c r="K22" s="9">
        <v>25</v>
      </c>
      <c r="L22" s="9">
        <v>21</v>
      </c>
      <c r="M22" s="9">
        <v>56</v>
      </c>
      <c r="N22" s="9">
        <v>39</v>
      </c>
      <c r="O22" s="18">
        <v>96</v>
      </c>
      <c r="P22" s="9">
        <v>677</v>
      </c>
    </row>
    <row r="23" spans="1:17" ht="24.95" customHeight="1" x14ac:dyDescent="0.2">
      <c r="A23" s="11" t="s">
        <v>337</v>
      </c>
      <c r="B23">
        <v>40</v>
      </c>
      <c r="C23">
        <v>36</v>
      </c>
      <c r="D23">
        <v>49</v>
      </c>
      <c r="E23">
        <v>166</v>
      </c>
      <c r="F23" s="69">
        <v>169</v>
      </c>
      <c r="G23" s="69">
        <v>80</v>
      </c>
      <c r="H23">
        <v>31</v>
      </c>
      <c r="I23">
        <v>37</v>
      </c>
      <c r="J23">
        <v>72</v>
      </c>
      <c r="K23" s="69">
        <v>42</v>
      </c>
      <c r="L23">
        <v>39</v>
      </c>
      <c r="M23">
        <v>75</v>
      </c>
      <c r="N23">
        <v>80</v>
      </c>
      <c r="O23">
        <v>128</v>
      </c>
      <c r="P23" s="68">
        <v>1044</v>
      </c>
    </row>
    <row r="24" spans="1:17" ht="24.95" customHeight="1" x14ac:dyDescent="0.2">
      <c r="A24" s="11" t="s">
        <v>338</v>
      </c>
      <c r="B24" s="9">
        <v>7</v>
      </c>
      <c r="C24" s="9">
        <v>41</v>
      </c>
      <c r="D24" s="9">
        <v>16</v>
      </c>
      <c r="E24" s="18">
        <v>111</v>
      </c>
      <c r="F24" s="21">
        <v>162</v>
      </c>
      <c r="G24" s="9">
        <v>103</v>
      </c>
      <c r="H24" s="9">
        <v>37</v>
      </c>
      <c r="I24" s="9">
        <v>36</v>
      </c>
      <c r="J24" s="18">
        <v>88</v>
      </c>
      <c r="K24" s="9">
        <v>30</v>
      </c>
      <c r="L24" s="9">
        <v>46</v>
      </c>
      <c r="M24" s="9">
        <v>69</v>
      </c>
      <c r="N24" s="9">
        <v>60</v>
      </c>
      <c r="O24" s="18">
        <v>86</v>
      </c>
      <c r="P24" s="9">
        <v>892</v>
      </c>
    </row>
    <row r="25" spans="1:17" ht="24.95" customHeight="1" x14ac:dyDescent="0.25">
      <c r="A25" s="12" t="s">
        <v>340</v>
      </c>
      <c r="B25" s="10">
        <v>107</v>
      </c>
      <c r="C25" s="10">
        <v>163</v>
      </c>
      <c r="D25" s="10">
        <v>167</v>
      </c>
      <c r="E25" s="19">
        <v>633</v>
      </c>
      <c r="F25" s="22">
        <v>799</v>
      </c>
      <c r="G25" s="10">
        <v>478</v>
      </c>
      <c r="H25" s="10">
        <v>187</v>
      </c>
      <c r="I25" s="10">
        <v>197</v>
      </c>
      <c r="J25" s="19">
        <v>366</v>
      </c>
      <c r="K25" s="10">
        <v>174</v>
      </c>
      <c r="L25" s="10">
        <v>203</v>
      </c>
      <c r="M25" s="10">
        <v>357</v>
      </c>
      <c r="N25" s="10">
        <v>332</v>
      </c>
      <c r="O25" s="19">
        <v>548</v>
      </c>
      <c r="P25" s="10">
        <v>4711</v>
      </c>
      <c r="Q25" s="54"/>
    </row>
    <row r="26" spans="1:17" ht="24.95" customHeight="1" x14ac:dyDescent="0.2">
      <c r="A26" s="11" t="s">
        <v>342</v>
      </c>
      <c r="B26" s="9">
        <v>53</v>
      </c>
      <c r="C26" s="9">
        <v>87</v>
      </c>
      <c r="D26" s="9">
        <v>72</v>
      </c>
      <c r="E26" s="18">
        <v>322</v>
      </c>
      <c r="F26" s="21">
        <v>304</v>
      </c>
      <c r="G26" s="9">
        <v>231</v>
      </c>
      <c r="H26" s="9">
        <v>83</v>
      </c>
      <c r="I26" s="9">
        <v>89</v>
      </c>
      <c r="J26" s="18">
        <v>195</v>
      </c>
      <c r="K26" s="9">
        <v>60</v>
      </c>
      <c r="L26" s="9">
        <v>124</v>
      </c>
      <c r="M26" s="9">
        <v>153</v>
      </c>
      <c r="N26" s="9">
        <v>166</v>
      </c>
      <c r="O26" s="18">
        <v>269</v>
      </c>
      <c r="P26" s="9">
        <v>2208</v>
      </c>
    </row>
    <row r="27" spans="1:17" ht="24.95" customHeight="1" x14ac:dyDescent="0.2">
      <c r="A27" s="11" t="s">
        <v>343</v>
      </c>
      <c r="B27" s="9">
        <v>27</v>
      </c>
      <c r="C27" s="9">
        <v>31</v>
      </c>
      <c r="D27" s="9">
        <v>26</v>
      </c>
      <c r="E27" s="18">
        <v>117</v>
      </c>
      <c r="F27" s="21">
        <v>108</v>
      </c>
      <c r="G27" s="9">
        <v>96</v>
      </c>
      <c r="H27" s="9">
        <v>31</v>
      </c>
      <c r="I27" s="9">
        <v>32</v>
      </c>
      <c r="J27" s="18">
        <v>61</v>
      </c>
      <c r="K27" s="9">
        <v>29</v>
      </c>
      <c r="L27" s="9">
        <v>46</v>
      </c>
      <c r="M27" s="9">
        <v>58</v>
      </c>
      <c r="N27" s="9">
        <v>53</v>
      </c>
      <c r="O27" s="18">
        <v>96</v>
      </c>
      <c r="P27" s="9">
        <v>811</v>
      </c>
    </row>
    <row r="28" spans="1:17" ht="24.95" customHeight="1" x14ac:dyDescent="0.25">
      <c r="A28" s="12" t="s">
        <v>344</v>
      </c>
      <c r="B28" s="10">
        <v>60</v>
      </c>
      <c r="C28" s="10">
        <v>103</v>
      </c>
      <c r="D28" s="10">
        <v>79</v>
      </c>
      <c r="E28" s="19">
        <v>363</v>
      </c>
      <c r="F28" s="22">
        <v>355</v>
      </c>
      <c r="G28" s="10">
        <v>257</v>
      </c>
      <c r="H28" s="10">
        <v>91</v>
      </c>
      <c r="I28" s="10">
        <v>105</v>
      </c>
      <c r="J28" s="19">
        <v>218</v>
      </c>
      <c r="K28" s="10">
        <v>77</v>
      </c>
      <c r="L28" s="10">
        <v>144</v>
      </c>
      <c r="M28" s="10">
        <v>189</v>
      </c>
      <c r="N28" s="10">
        <v>188</v>
      </c>
      <c r="O28" s="19">
        <v>318</v>
      </c>
      <c r="P28" s="10">
        <v>2547</v>
      </c>
    </row>
    <row r="29" spans="1:17" ht="24.95" customHeight="1" x14ac:dyDescent="0.25">
      <c r="A29" s="12" t="s">
        <v>499</v>
      </c>
      <c r="B29" s="10">
        <v>193</v>
      </c>
      <c r="C29" s="10">
        <v>321</v>
      </c>
      <c r="D29" s="10">
        <v>281</v>
      </c>
      <c r="E29" s="19">
        <v>1270</v>
      </c>
      <c r="F29" s="22">
        <v>1628</v>
      </c>
      <c r="G29" s="10">
        <v>1051</v>
      </c>
      <c r="H29" s="10">
        <v>383</v>
      </c>
      <c r="I29" s="10">
        <v>429</v>
      </c>
      <c r="J29" s="19">
        <v>758</v>
      </c>
      <c r="K29" s="10">
        <v>360</v>
      </c>
      <c r="L29" s="10">
        <v>446</v>
      </c>
      <c r="M29" s="10">
        <v>705</v>
      </c>
      <c r="N29" s="10">
        <v>699</v>
      </c>
      <c r="O29" s="19">
        <v>1207</v>
      </c>
      <c r="P29" s="10">
        <v>9731</v>
      </c>
    </row>
    <row r="30" spans="1:17" ht="24.95" customHeight="1" x14ac:dyDescent="0.25">
      <c r="A30" s="12" t="s">
        <v>500</v>
      </c>
      <c r="B30" s="10">
        <v>1051</v>
      </c>
      <c r="C30" s="10">
        <v>830</v>
      </c>
      <c r="D30" s="10">
        <v>2468</v>
      </c>
      <c r="E30" s="19">
        <v>5048</v>
      </c>
      <c r="F30" s="22">
        <v>4301</v>
      </c>
      <c r="G30" s="10">
        <v>1951</v>
      </c>
      <c r="H30" s="10">
        <v>725</v>
      </c>
      <c r="I30" s="10">
        <v>753</v>
      </c>
      <c r="J30" s="19">
        <v>1455</v>
      </c>
      <c r="K30" s="10">
        <v>753</v>
      </c>
      <c r="L30" s="10">
        <v>1123</v>
      </c>
      <c r="M30" s="10">
        <v>1468</v>
      </c>
      <c r="N30" s="10">
        <v>1451</v>
      </c>
      <c r="O30" s="19">
        <v>2345</v>
      </c>
      <c r="P30" s="10">
        <v>25722</v>
      </c>
    </row>
    <row r="31" spans="1:17" ht="24.95" customHeight="1" x14ac:dyDescent="0.25">
      <c r="A31" s="12" t="s">
        <v>479</v>
      </c>
      <c r="B31" s="10">
        <v>1691</v>
      </c>
      <c r="C31" s="10">
        <v>1680</v>
      </c>
      <c r="D31" s="10">
        <v>5245</v>
      </c>
      <c r="E31" s="19">
        <v>9162</v>
      </c>
      <c r="F31" s="19">
        <v>8259</v>
      </c>
      <c r="G31" s="10">
        <v>3533</v>
      </c>
      <c r="H31" s="10">
        <v>1398</v>
      </c>
      <c r="I31" s="10">
        <v>1441</v>
      </c>
      <c r="J31" s="19">
        <v>2506</v>
      </c>
      <c r="K31" s="10">
        <v>1481</v>
      </c>
      <c r="L31" s="10">
        <v>1851</v>
      </c>
      <c r="M31" s="10">
        <v>2900</v>
      </c>
      <c r="N31" s="10">
        <v>2677</v>
      </c>
      <c r="O31" s="19">
        <v>3834</v>
      </c>
      <c r="P31" s="19">
        <v>47658</v>
      </c>
    </row>
    <row r="34" spans="16:16" x14ac:dyDescent="0.2">
      <c r="P34" s="54"/>
    </row>
  </sheetData>
  <hyperlinks>
    <hyperlink ref="A5" r:id="rId1" xr:uid="{00000000-0004-0000-1500-000000000000}"/>
  </hyperlinks>
  <pageMargins left="0.7" right="0.7" top="0.75" bottom="0.75" header="0.3" footer="0.3"/>
  <pageSetup paperSize="9" orientation="portrait" horizontalDpi="300" verticalDpi="300"/>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0"/>
  <sheetViews>
    <sheetView showGridLines="0" zoomScaleNormal="100" workbookViewId="0"/>
  </sheetViews>
  <sheetFormatPr defaultColWidth="11.5546875" defaultRowHeight="15" x14ac:dyDescent="0.2"/>
  <cols>
    <col min="1" max="1" width="50.6640625" customWidth="1"/>
    <col min="2" max="97" width="15.6640625" customWidth="1"/>
  </cols>
  <sheetData>
    <row r="1" spans="1:16" ht="20.25" x14ac:dyDescent="0.3">
      <c r="A1" s="4" t="s">
        <v>627</v>
      </c>
    </row>
    <row r="2" spans="1:16" x14ac:dyDescent="0.2">
      <c r="A2" t="s">
        <v>37</v>
      </c>
    </row>
    <row r="3" spans="1:16" x14ac:dyDescent="0.2">
      <c r="A3" t="s">
        <v>139</v>
      </c>
    </row>
    <row r="4" spans="1:16" x14ac:dyDescent="0.2">
      <c r="A4" s="7" t="str">
        <f>HYPERLINK("#Notes!A1", "Link to Notes table")</f>
        <v>Link to Notes table</v>
      </c>
    </row>
    <row r="5" spans="1:16" ht="15.75" thickBot="1" x14ac:dyDescent="0.25">
      <c r="A5" s="7" t="s">
        <v>140</v>
      </c>
    </row>
    <row r="6" spans="1:16" ht="63.75" thickBot="1" x14ac:dyDescent="0.3">
      <c r="A6" s="14" t="s">
        <v>317</v>
      </c>
      <c r="B6" s="15" t="s">
        <v>480</v>
      </c>
      <c r="C6" s="15" t="s">
        <v>481</v>
      </c>
      <c r="D6" s="15" t="s">
        <v>482</v>
      </c>
      <c r="E6" s="17" t="s">
        <v>483</v>
      </c>
      <c r="F6" s="20" t="s">
        <v>484</v>
      </c>
      <c r="G6" s="15" t="s">
        <v>485</v>
      </c>
      <c r="H6" s="15" t="s">
        <v>486</v>
      </c>
      <c r="I6" s="15" t="s">
        <v>487</v>
      </c>
      <c r="J6" s="17" t="s">
        <v>488</v>
      </c>
      <c r="K6" s="47" t="s">
        <v>489</v>
      </c>
      <c r="L6" s="15" t="s">
        <v>490</v>
      </c>
      <c r="M6" s="15" t="s">
        <v>491</v>
      </c>
      <c r="N6" s="15" t="s">
        <v>492</v>
      </c>
      <c r="O6" s="17" t="s">
        <v>493</v>
      </c>
      <c r="P6" s="31" t="s">
        <v>494</v>
      </c>
    </row>
    <row r="7" spans="1:16" ht="24.95" customHeight="1" x14ac:dyDescent="0.2">
      <c r="A7" s="11" t="s">
        <v>318</v>
      </c>
      <c r="B7" s="9">
        <v>188</v>
      </c>
      <c r="C7" s="9">
        <v>427</v>
      </c>
      <c r="D7" s="9">
        <v>217</v>
      </c>
      <c r="E7" s="18">
        <v>1312</v>
      </c>
      <c r="F7" s="21">
        <v>2010</v>
      </c>
      <c r="G7" s="9">
        <v>1031</v>
      </c>
      <c r="H7" s="9">
        <v>420</v>
      </c>
      <c r="I7" s="9">
        <v>394</v>
      </c>
      <c r="J7" s="18">
        <v>761</v>
      </c>
      <c r="K7" s="48">
        <v>388</v>
      </c>
      <c r="L7" s="9">
        <v>471</v>
      </c>
      <c r="M7" s="9">
        <v>803</v>
      </c>
      <c r="N7" s="9">
        <v>937</v>
      </c>
      <c r="O7" s="18">
        <v>1430</v>
      </c>
      <c r="P7" s="9">
        <v>10789</v>
      </c>
    </row>
    <row r="8" spans="1:16" ht="24.95" customHeight="1" x14ac:dyDescent="0.2">
      <c r="A8" s="11" t="s">
        <v>319</v>
      </c>
      <c r="B8" s="9">
        <v>320</v>
      </c>
      <c r="C8" s="9">
        <v>222</v>
      </c>
      <c r="D8" s="9">
        <v>551</v>
      </c>
      <c r="E8" s="18">
        <v>1355</v>
      </c>
      <c r="F8" s="21">
        <v>933</v>
      </c>
      <c r="G8" s="9">
        <v>397</v>
      </c>
      <c r="H8" s="9">
        <v>115</v>
      </c>
      <c r="I8" s="9">
        <v>132</v>
      </c>
      <c r="J8" s="18">
        <v>287</v>
      </c>
      <c r="K8" s="48">
        <v>159</v>
      </c>
      <c r="L8" s="9">
        <v>249</v>
      </c>
      <c r="M8" s="9">
        <v>326</v>
      </c>
      <c r="N8" s="9">
        <v>304</v>
      </c>
      <c r="O8" s="18">
        <v>492</v>
      </c>
      <c r="P8" s="9">
        <v>5842</v>
      </c>
    </row>
    <row r="9" spans="1:16" ht="24.95" customHeight="1" x14ac:dyDescent="0.2">
      <c r="A9" s="11" t="s">
        <v>320</v>
      </c>
      <c r="B9" s="9">
        <v>918</v>
      </c>
      <c r="C9" s="9">
        <v>542</v>
      </c>
      <c r="D9" s="9">
        <v>2298</v>
      </c>
      <c r="E9" s="18">
        <v>3988</v>
      </c>
      <c r="F9" s="21">
        <v>2809</v>
      </c>
      <c r="G9" s="9">
        <v>1095</v>
      </c>
      <c r="H9" s="9">
        <v>426</v>
      </c>
      <c r="I9" s="9">
        <v>380</v>
      </c>
      <c r="J9" s="18">
        <v>857</v>
      </c>
      <c r="K9" s="48">
        <v>439</v>
      </c>
      <c r="L9" s="9">
        <v>766</v>
      </c>
      <c r="M9" s="9">
        <v>838</v>
      </c>
      <c r="N9" s="9">
        <v>795</v>
      </c>
      <c r="O9" s="18">
        <v>1372</v>
      </c>
      <c r="P9" s="9">
        <v>17523</v>
      </c>
    </row>
    <row r="10" spans="1:16" ht="24.95" customHeight="1" x14ac:dyDescent="0.25">
      <c r="A10" s="12" t="s">
        <v>321</v>
      </c>
      <c r="B10" s="10">
        <v>1426</v>
      </c>
      <c r="C10" s="10">
        <v>1191</v>
      </c>
      <c r="D10" s="10">
        <v>3066</v>
      </c>
      <c r="E10" s="19">
        <v>6655</v>
      </c>
      <c r="F10" s="22">
        <v>5752</v>
      </c>
      <c r="G10" s="10">
        <v>2523</v>
      </c>
      <c r="H10" s="10">
        <v>961</v>
      </c>
      <c r="I10" s="10">
        <v>906</v>
      </c>
      <c r="J10" s="19">
        <v>1905</v>
      </c>
      <c r="K10" s="49">
        <v>986</v>
      </c>
      <c r="L10" s="10">
        <v>1486</v>
      </c>
      <c r="M10" s="10">
        <v>1967</v>
      </c>
      <c r="N10" s="10">
        <v>2036</v>
      </c>
      <c r="O10" s="19">
        <v>3294</v>
      </c>
      <c r="P10" s="10">
        <v>34154</v>
      </c>
    </row>
    <row r="11" spans="1:16" ht="24.95" customHeight="1" x14ac:dyDescent="0.2">
      <c r="A11" s="11" t="s">
        <v>322</v>
      </c>
      <c r="B11" s="9">
        <v>289</v>
      </c>
      <c r="C11" s="9">
        <v>627</v>
      </c>
      <c r="D11" s="9">
        <v>1028</v>
      </c>
      <c r="E11" s="18">
        <v>2451</v>
      </c>
      <c r="F11" s="21">
        <v>3146</v>
      </c>
      <c r="G11" s="9">
        <v>1159</v>
      </c>
      <c r="H11" s="9">
        <v>453</v>
      </c>
      <c r="I11" s="9">
        <v>465</v>
      </c>
      <c r="J11" s="18">
        <v>818</v>
      </c>
      <c r="K11" s="48">
        <v>484</v>
      </c>
      <c r="L11" s="9">
        <v>521</v>
      </c>
      <c r="M11" s="9">
        <v>883</v>
      </c>
      <c r="N11" s="9">
        <v>891</v>
      </c>
      <c r="O11" s="18">
        <v>1240</v>
      </c>
      <c r="P11" s="9">
        <v>14455</v>
      </c>
    </row>
    <row r="12" spans="1:16" ht="24.95" customHeight="1" x14ac:dyDescent="0.2">
      <c r="A12" s="11" t="s">
        <v>323</v>
      </c>
      <c r="B12" s="9">
        <v>11</v>
      </c>
      <c r="C12" s="9">
        <v>100</v>
      </c>
      <c r="D12" s="9">
        <v>31</v>
      </c>
      <c r="E12" s="18">
        <v>567</v>
      </c>
      <c r="F12" s="21">
        <v>1056</v>
      </c>
      <c r="G12" s="9">
        <v>1269</v>
      </c>
      <c r="H12" s="9">
        <v>647</v>
      </c>
      <c r="I12" s="9">
        <v>774</v>
      </c>
      <c r="J12" s="18">
        <v>758</v>
      </c>
      <c r="K12" s="48">
        <v>211</v>
      </c>
      <c r="L12" s="9">
        <v>196</v>
      </c>
      <c r="M12" s="9">
        <v>294</v>
      </c>
      <c r="N12" s="9">
        <v>345</v>
      </c>
      <c r="O12" s="18">
        <v>1015</v>
      </c>
      <c r="P12" s="9">
        <v>7274</v>
      </c>
    </row>
    <row r="13" spans="1:16" ht="24.95" customHeight="1" x14ac:dyDescent="0.2">
      <c r="A13" s="11" t="s">
        <v>324</v>
      </c>
      <c r="B13" s="9">
        <v>26</v>
      </c>
      <c r="C13" s="9">
        <v>59</v>
      </c>
      <c r="D13" s="9">
        <v>43</v>
      </c>
      <c r="E13" s="18">
        <v>165</v>
      </c>
      <c r="F13" s="21">
        <v>240</v>
      </c>
      <c r="G13" s="9">
        <v>158</v>
      </c>
      <c r="H13" s="9">
        <v>63</v>
      </c>
      <c r="I13" s="9">
        <v>66</v>
      </c>
      <c r="J13" s="18">
        <v>108</v>
      </c>
      <c r="K13" s="48">
        <v>58</v>
      </c>
      <c r="L13" s="9">
        <v>85</v>
      </c>
      <c r="M13" s="9">
        <v>124</v>
      </c>
      <c r="N13" s="9">
        <v>155</v>
      </c>
      <c r="O13" s="18">
        <v>219</v>
      </c>
      <c r="P13" s="9">
        <v>1569</v>
      </c>
    </row>
    <row r="14" spans="1:16" ht="24.95" customHeight="1" x14ac:dyDescent="0.2">
      <c r="A14" s="11" t="s">
        <v>325</v>
      </c>
      <c r="B14" s="9">
        <v>28</v>
      </c>
      <c r="C14" s="9">
        <v>116</v>
      </c>
      <c r="D14" s="9">
        <v>34</v>
      </c>
      <c r="E14" s="18">
        <v>289</v>
      </c>
      <c r="F14" s="21">
        <v>616</v>
      </c>
      <c r="G14" s="9">
        <v>437</v>
      </c>
      <c r="H14" s="9">
        <v>153</v>
      </c>
      <c r="I14" s="9">
        <v>179</v>
      </c>
      <c r="J14" s="18">
        <v>280</v>
      </c>
      <c r="K14" s="48">
        <v>147</v>
      </c>
      <c r="L14" s="9">
        <v>111</v>
      </c>
      <c r="M14" s="9">
        <v>241</v>
      </c>
      <c r="N14" s="9">
        <v>318</v>
      </c>
      <c r="O14" s="18">
        <v>482</v>
      </c>
      <c r="P14" s="9">
        <v>3431</v>
      </c>
    </row>
    <row r="15" spans="1:16" ht="24.95" customHeight="1" x14ac:dyDescent="0.2">
      <c r="A15" s="11" t="s">
        <v>327</v>
      </c>
      <c r="B15" s="9" t="s">
        <v>612</v>
      </c>
      <c r="C15" s="9">
        <v>17</v>
      </c>
      <c r="D15" s="9" t="s">
        <v>612</v>
      </c>
      <c r="E15" s="18">
        <v>114</v>
      </c>
      <c r="F15" s="21">
        <v>183</v>
      </c>
      <c r="G15" s="9">
        <v>288</v>
      </c>
      <c r="H15" s="9">
        <v>146</v>
      </c>
      <c r="I15" s="9">
        <v>224</v>
      </c>
      <c r="J15" s="18">
        <v>123</v>
      </c>
      <c r="K15" s="48">
        <v>21</v>
      </c>
      <c r="L15" s="9">
        <v>64</v>
      </c>
      <c r="M15" s="9">
        <v>128</v>
      </c>
      <c r="N15" s="9">
        <v>103</v>
      </c>
      <c r="O15" s="18">
        <v>110</v>
      </c>
      <c r="P15" s="9">
        <v>1531</v>
      </c>
    </row>
    <row r="16" spans="1:16" ht="24.95" customHeight="1" x14ac:dyDescent="0.2">
      <c r="A16" s="11" t="s">
        <v>328</v>
      </c>
      <c r="B16" s="9">
        <v>14</v>
      </c>
      <c r="C16" s="9">
        <v>14</v>
      </c>
      <c r="D16" s="9">
        <v>20</v>
      </c>
      <c r="E16" s="18">
        <v>95</v>
      </c>
      <c r="F16" s="21">
        <v>77</v>
      </c>
      <c r="G16" s="9">
        <v>66</v>
      </c>
      <c r="H16" s="9">
        <v>35</v>
      </c>
      <c r="I16" s="9">
        <v>24</v>
      </c>
      <c r="J16" s="18">
        <v>49</v>
      </c>
      <c r="K16" s="48">
        <v>23</v>
      </c>
      <c r="L16" s="9">
        <v>34</v>
      </c>
      <c r="M16" s="9">
        <v>42</v>
      </c>
      <c r="N16" s="9">
        <v>53</v>
      </c>
      <c r="O16" s="18">
        <v>84</v>
      </c>
      <c r="P16" s="9">
        <v>630</v>
      </c>
    </row>
    <row r="17" spans="1:16" ht="24.95" customHeight="1" x14ac:dyDescent="0.2">
      <c r="A17" s="11" t="s">
        <v>329</v>
      </c>
      <c r="B17" s="9" t="s">
        <v>612</v>
      </c>
      <c r="C17" s="9">
        <v>45</v>
      </c>
      <c r="D17" s="9" t="s">
        <v>612</v>
      </c>
      <c r="E17" s="18">
        <v>137</v>
      </c>
      <c r="F17" s="21">
        <v>222</v>
      </c>
      <c r="G17" s="9">
        <v>177</v>
      </c>
      <c r="H17" s="9">
        <v>59</v>
      </c>
      <c r="I17" s="9">
        <v>58</v>
      </c>
      <c r="J17" s="18">
        <v>113</v>
      </c>
      <c r="K17" s="48">
        <v>62</v>
      </c>
      <c r="L17" s="9">
        <v>48</v>
      </c>
      <c r="M17" s="9">
        <v>105</v>
      </c>
      <c r="N17" s="9">
        <v>99</v>
      </c>
      <c r="O17" s="18">
        <v>194</v>
      </c>
      <c r="P17" s="9">
        <v>1334</v>
      </c>
    </row>
    <row r="18" spans="1:16" ht="24.95" customHeight="1" x14ac:dyDescent="0.25">
      <c r="A18" s="12" t="s">
        <v>331</v>
      </c>
      <c r="B18" s="10">
        <v>85</v>
      </c>
      <c r="C18" s="10">
        <v>351</v>
      </c>
      <c r="D18" s="10">
        <v>147</v>
      </c>
      <c r="E18" s="19">
        <v>1367</v>
      </c>
      <c r="F18" s="22">
        <v>2394</v>
      </c>
      <c r="G18" s="10">
        <v>2395</v>
      </c>
      <c r="H18" s="10">
        <v>1103</v>
      </c>
      <c r="I18" s="10">
        <v>1325</v>
      </c>
      <c r="J18" s="19">
        <v>1431</v>
      </c>
      <c r="K18" s="49">
        <v>522</v>
      </c>
      <c r="L18" s="10">
        <v>538</v>
      </c>
      <c r="M18" s="10">
        <v>934</v>
      </c>
      <c r="N18" s="10">
        <v>1073</v>
      </c>
      <c r="O18" s="19">
        <v>2104</v>
      </c>
      <c r="P18" s="10">
        <v>15769</v>
      </c>
    </row>
    <row r="19" spans="1:16" ht="24.95" customHeight="1" x14ac:dyDescent="0.2">
      <c r="A19" s="11" t="s">
        <v>332</v>
      </c>
      <c r="B19" s="9">
        <v>10</v>
      </c>
      <c r="C19" s="9">
        <v>39</v>
      </c>
      <c r="D19" s="9">
        <v>18</v>
      </c>
      <c r="E19" s="18">
        <v>169</v>
      </c>
      <c r="F19" s="21">
        <v>245</v>
      </c>
      <c r="G19" s="9">
        <v>275</v>
      </c>
      <c r="H19" s="9">
        <v>130</v>
      </c>
      <c r="I19" s="9">
        <v>123</v>
      </c>
      <c r="J19" s="18">
        <v>185</v>
      </c>
      <c r="K19" s="48">
        <v>69</v>
      </c>
      <c r="L19" s="9">
        <v>72</v>
      </c>
      <c r="M19" s="9">
        <v>132</v>
      </c>
      <c r="N19" s="9">
        <v>154</v>
      </c>
      <c r="O19" s="18">
        <v>281</v>
      </c>
      <c r="P19" s="9">
        <v>1902</v>
      </c>
    </row>
    <row r="20" spans="1:16" ht="24.95" customHeight="1" x14ac:dyDescent="0.2">
      <c r="A20" s="11" t="s">
        <v>333</v>
      </c>
      <c r="B20" s="9">
        <v>80</v>
      </c>
      <c r="C20" s="9">
        <v>60</v>
      </c>
      <c r="D20" s="9">
        <v>126</v>
      </c>
      <c r="E20" s="18">
        <v>289</v>
      </c>
      <c r="F20" s="21">
        <v>269</v>
      </c>
      <c r="G20" s="9">
        <v>90</v>
      </c>
      <c r="H20" s="9">
        <v>44</v>
      </c>
      <c r="I20" s="9">
        <v>42</v>
      </c>
      <c r="J20" s="18">
        <v>72</v>
      </c>
      <c r="K20" s="48">
        <v>50</v>
      </c>
      <c r="L20" s="9">
        <v>65</v>
      </c>
      <c r="M20" s="9">
        <v>105</v>
      </c>
      <c r="N20" s="9">
        <v>95</v>
      </c>
      <c r="O20" s="18">
        <v>145</v>
      </c>
      <c r="P20" s="9">
        <v>1532</v>
      </c>
    </row>
    <row r="21" spans="1:16" ht="24.95" customHeight="1" x14ac:dyDescent="0.2">
      <c r="A21" s="11" t="s">
        <v>334</v>
      </c>
      <c r="B21" s="9">
        <v>24</v>
      </c>
      <c r="C21" s="9">
        <v>49</v>
      </c>
      <c r="D21" s="9">
        <v>35</v>
      </c>
      <c r="E21" s="18">
        <v>163</v>
      </c>
      <c r="F21" s="21">
        <v>208</v>
      </c>
      <c r="G21" s="9">
        <v>132</v>
      </c>
      <c r="H21" s="9">
        <v>50</v>
      </c>
      <c r="I21" s="9">
        <v>40</v>
      </c>
      <c r="J21" s="18">
        <v>79</v>
      </c>
      <c r="K21" s="48">
        <v>28</v>
      </c>
      <c r="L21" s="9">
        <v>59</v>
      </c>
      <c r="M21" s="9">
        <v>91</v>
      </c>
      <c r="N21" s="9">
        <v>68</v>
      </c>
      <c r="O21" s="18">
        <v>116</v>
      </c>
      <c r="P21" s="9">
        <v>1142</v>
      </c>
    </row>
    <row r="22" spans="1:16" ht="24.95" customHeight="1" x14ac:dyDescent="0.2">
      <c r="A22" s="11" t="s">
        <v>336</v>
      </c>
      <c r="B22" s="9">
        <v>9</v>
      </c>
      <c r="C22" s="9">
        <v>11</v>
      </c>
      <c r="D22" s="9">
        <v>21</v>
      </c>
      <c r="E22" s="18">
        <v>119</v>
      </c>
      <c r="F22" s="21">
        <v>204</v>
      </c>
      <c r="G22" s="9">
        <v>188</v>
      </c>
      <c r="H22" s="9">
        <v>59</v>
      </c>
      <c r="I22" s="9">
        <v>105</v>
      </c>
      <c r="J22" s="18">
        <v>77</v>
      </c>
      <c r="K22" s="48">
        <v>31</v>
      </c>
      <c r="L22" s="9">
        <v>25</v>
      </c>
      <c r="M22" s="9">
        <v>111</v>
      </c>
      <c r="N22" s="9">
        <v>72</v>
      </c>
      <c r="O22" s="18">
        <v>128</v>
      </c>
      <c r="P22" s="9">
        <v>1160</v>
      </c>
    </row>
    <row r="23" spans="1:16" ht="24.95" customHeight="1" x14ac:dyDescent="0.2">
      <c r="A23" s="11" t="s">
        <v>337</v>
      </c>
      <c r="B23" s="9">
        <v>44</v>
      </c>
      <c r="C23" s="9">
        <v>40</v>
      </c>
      <c r="D23" s="9">
        <v>63</v>
      </c>
      <c r="E23" s="18">
        <v>200</v>
      </c>
      <c r="F23" s="21">
        <v>205</v>
      </c>
      <c r="G23" s="9">
        <v>102</v>
      </c>
      <c r="H23" s="9">
        <v>34</v>
      </c>
      <c r="I23" s="9">
        <v>41</v>
      </c>
      <c r="J23" s="18">
        <v>94</v>
      </c>
      <c r="K23" s="48">
        <v>48</v>
      </c>
      <c r="L23" s="9">
        <v>47</v>
      </c>
      <c r="M23" s="9">
        <v>93</v>
      </c>
      <c r="N23" s="9">
        <v>98</v>
      </c>
      <c r="O23" s="18">
        <v>148</v>
      </c>
      <c r="P23" s="9">
        <v>1257</v>
      </c>
    </row>
    <row r="24" spans="1:16" ht="24.95" customHeight="1" x14ac:dyDescent="0.2">
      <c r="A24" s="11" t="s">
        <v>338</v>
      </c>
      <c r="B24" s="9">
        <v>7</v>
      </c>
      <c r="C24" s="9">
        <v>42</v>
      </c>
      <c r="D24" s="9">
        <v>18</v>
      </c>
      <c r="E24" s="18">
        <v>132</v>
      </c>
      <c r="F24" s="21">
        <v>175</v>
      </c>
      <c r="G24" s="9">
        <v>119</v>
      </c>
      <c r="H24" s="9">
        <v>42</v>
      </c>
      <c r="I24" s="9">
        <v>49</v>
      </c>
      <c r="J24" s="18">
        <v>106</v>
      </c>
      <c r="K24" s="48">
        <v>35</v>
      </c>
      <c r="L24" s="9">
        <v>53</v>
      </c>
      <c r="M24" s="9">
        <v>87</v>
      </c>
      <c r="N24" s="9">
        <v>71</v>
      </c>
      <c r="O24" s="18">
        <v>101</v>
      </c>
      <c r="P24" s="9">
        <v>1037</v>
      </c>
    </row>
    <row r="25" spans="1:16" ht="24.95" customHeight="1" x14ac:dyDescent="0.25">
      <c r="A25" s="12" t="s">
        <v>340</v>
      </c>
      <c r="B25" s="10">
        <v>174</v>
      </c>
      <c r="C25" s="10">
        <v>241</v>
      </c>
      <c r="D25" s="10">
        <v>281</v>
      </c>
      <c r="E25" s="19">
        <v>1072</v>
      </c>
      <c r="F25" s="22">
        <v>1306</v>
      </c>
      <c r="G25" s="10">
        <v>906</v>
      </c>
      <c r="H25" s="10">
        <v>359</v>
      </c>
      <c r="I25" s="10">
        <v>400</v>
      </c>
      <c r="J25" s="19">
        <v>613</v>
      </c>
      <c r="K25" s="49">
        <v>261</v>
      </c>
      <c r="L25" s="10">
        <v>321</v>
      </c>
      <c r="M25" s="10">
        <v>619</v>
      </c>
      <c r="N25" s="10">
        <v>558</v>
      </c>
      <c r="O25" s="19">
        <v>919</v>
      </c>
      <c r="P25" s="10">
        <v>8030</v>
      </c>
    </row>
    <row r="26" spans="1:16" ht="24.95" customHeight="1" x14ac:dyDescent="0.2">
      <c r="A26" s="11" t="s">
        <v>342</v>
      </c>
      <c r="B26" s="9">
        <v>95</v>
      </c>
      <c r="C26" s="9">
        <v>127</v>
      </c>
      <c r="D26" s="9">
        <v>101</v>
      </c>
      <c r="E26" s="18">
        <v>506</v>
      </c>
      <c r="F26" s="21">
        <v>731</v>
      </c>
      <c r="G26" s="9">
        <v>1938</v>
      </c>
      <c r="H26" s="9">
        <v>363</v>
      </c>
      <c r="I26" s="9">
        <v>137</v>
      </c>
      <c r="J26" s="18">
        <v>406</v>
      </c>
      <c r="K26" s="48">
        <v>92</v>
      </c>
      <c r="L26" s="9">
        <v>266</v>
      </c>
      <c r="M26" s="9">
        <v>214</v>
      </c>
      <c r="N26" s="9">
        <v>320</v>
      </c>
      <c r="O26" s="18">
        <v>455</v>
      </c>
      <c r="P26" s="9">
        <v>5751</v>
      </c>
    </row>
    <row r="27" spans="1:16" ht="24.95" customHeight="1" x14ac:dyDescent="0.2">
      <c r="A27" s="11" t="s">
        <v>343</v>
      </c>
      <c r="B27" s="9">
        <v>50</v>
      </c>
      <c r="C27" s="9">
        <v>39</v>
      </c>
      <c r="D27" s="9">
        <v>33</v>
      </c>
      <c r="E27" s="18">
        <v>161</v>
      </c>
      <c r="F27" s="21">
        <v>380</v>
      </c>
      <c r="G27" s="9">
        <v>1066</v>
      </c>
      <c r="H27" s="9">
        <v>175</v>
      </c>
      <c r="I27" s="9">
        <v>45</v>
      </c>
      <c r="J27" s="18">
        <v>81</v>
      </c>
      <c r="K27" s="48">
        <v>43</v>
      </c>
      <c r="L27" s="9">
        <v>64</v>
      </c>
      <c r="M27" s="9">
        <v>77</v>
      </c>
      <c r="N27" s="9">
        <v>77</v>
      </c>
      <c r="O27" s="18">
        <v>121</v>
      </c>
      <c r="P27" s="9">
        <v>2412</v>
      </c>
    </row>
    <row r="28" spans="1:16" ht="24.95" customHeight="1" x14ac:dyDescent="0.25">
      <c r="A28" s="12" t="s">
        <v>344</v>
      </c>
      <c r="B28" s="10">
        <v>145</v>
      </c>
      <c r="C28" s="10">
        <v>166</v>
      </c>
      <c r="D28" s="10">
        <v>134</v>
      </c>
      <c r="E28" s="19">
        <v>667</v>
      </c>
      <c r="F28" s="22">
        <v>1111</v>
      </c>
      <c r="G28" s="10">
        <v>3004</v>
      </c>
      <c r="H28" s="10">
        <v>538</v>
      </c>
      <c r="I28" s="10">
        <v>182</v>
      </c>
      <c r="J28" s="19">
        <v>487</v>
      </c>
      <c r="K28" s="49">
        <v>135</v>
      </c>
      <c r="L28" s="10">
        <v>330</v>
      </c>
      <c r="M28" s="10">
        <v>291</v>
      </c>
      <c r="N28" s="10">
        <v>397</v>
      </c>
      <c r="O28" s="19">
        <v>576</v>
      </c>
      <c r="P28" s="10">
        <v>8163</v>
      </c>
    </row>
    <row r="29" spans="1:16" ht="24.95" customHeight="1" x14ac:dyDescent="0.25">
      <c r="A29" s="12" t="s">
        <v>499</v>
      </c>
      <c r="B29" s="10">
        <v>404</v>
      </c>
      <c r="C29" s="10">
        <v>758</v>
      </c>
      <c r="D29" s="10">
        <v>562</v>
      </c>
      <c r="E29" s="19">
        <v>3106</v>
      </c>
      <c r="F29" s="22">
        <v>4811</v>
      </c>
      <c r="G29" s="10">
        <v>6305</v>
      </c>
      <c r="H29" s="10">
        <v>2000</v>
      </c>
      <c r="I29" s="10">
        <v>1907</v>
      </c>
      <c r="J29" s="19">
        <v>2531</v>
      </c>
      <c r="K29" s="49">
        <v>918</v>
      </c>
      <c r="L29" s="10">
        <v>1189</v>
      </c>
      <c r="M29" s="10">
        <v>1844</v>
      </c>
      <c r="N29" s="10">
        <v>2028</v>
      </c>
      <c r="O29" s="19">
        <v>3599</v>
      </c>
      <c r="P29" s="10">
        <v>31962</v>
      </c>
    </row>
    <row r="30" spans="1:16" ht="24.95" customHeight="1" thickBot="1" x14ac:dyDescent="0.3">
      <c r="A30" s="30" t="s">
        <v>500</v>
      </c>
      <c r="B30" s="10">
        <v>1830</v>
      </c>
      <c r="C30" s="10">
        <v>1949</v>
      </c>
      <c r="D30" s="10">
        <v>3628</v>
      </c>
      <c r="E30" s="19">
        <v>9761</v>
      </c>
      <c r="F30" s="22">
        <v>10563</v>
      </c>
      <c r="G30" s="10">
        <v>8828</v>
      </c>
      <c r="H30" s="10">
        <v>2961</v>
      </c>
      <c r="I30" s="10">
        <v>2813</v>
      </c>
      <c r="J30" s="19">
        <v>4436</v>
      </c>
      <c r="K30" s="49">
        <v>1904</v>
      </c>
      <c r="L30" s="10">
        <v>2675</v>
      </c>
      <c r="M30" s="10">
        <v>3811</v>
      </c>
      <c r="N30" s="10">
        <v>4064</v>
      </c>
      <c r="O30" s="19">
        <v>6893</v>
      </c>
      <c r="P30" s="10">
        <v>66116</v>
      </c>
    </row>
  </sheetData>
  <hyperlinks>
    <hyperlink ref="A5" r:id="rId1" xr:uid="{00000000-0004-0000-1600-000000000000}"/>
  </hyperlinks>
  <pageMargins left="0.7" right="0.7" top="0.75" bottom="0.75" header="0.3" footer="0.3"/>
  <pageSetup paperSize="9" orientation="portrait" horizontalDpi="300" verticalDpi="300"/>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8"/>
  <sheetViews>
    <sheetView showGridLines="0" zoomScaleNormal="100" workbookViewId="0"/>
  </sheetViews>
  <sheetFormatPr defaultColWidth="11.5546875" defaultRowHeight="15" x14ac:dyDescent="0.2"/>
  <cols>
    <col min="1" max="1" width="50.6640625" style="40" customWidth="1"/>
    <col min="2" max="100" width="15.6640625" customWidth="1"/>
  </cols>
  <sheetData>
    <row r="1" spans="1:16" ht="20.25" x14ac:dyDescent="0.3">
      <c r="A1" s="39" t="s">
        <v>631</v>
      </c>
    </row>
    <row r="2" spans="1:16" x14ac:dyDescent="0.2">
      <c r="A2" s="40" t="s">
        <v>37</v>
      </c>
    </row>
    <row r="3" spans="1:16" x14ac:dyDescent="0.2">
      <c r="A3" s="40" t="s">
        <v>139</v>
      </c>
    </row>
    <row r="4" spans="1:16" x14ac:dyDescent="0.2">
      <c r="A4" s="41" t="str">
        <f>HYPERLINK("#Notes!A1", "Link to Notes table")</f>
        <v>Link to Notes table</v>
      </c>
    </row>
    <row r="5" spans="1:16" ht="15.75" thickBot="1" x14ac:dyDescent="0.25">
      <c r="A5" s="41" t="s">
        <v>140</v>
      </c>
    </row>
    <row r="6" spans="1:16" ht="79.5" thickBot="1" x14ac:dyDescent="0.3">
      <c r="A6" s="43" t="s">
        <v>394</v>
      </c>
      <c r="B6" s="15" t="s">
        <v>427</v>
      </c>
      <c r="C6" s="15" t="s">
        <v>428</v>
      </c>
      <c r="D6" s="15" t="s">
        <v>429</v>
      </c>
      <c r="E6" s="17" t="s">
        <v>430</v>
      </c>
      <c r="F6" s="20" t="s">
        <v>431</v>
      </c>
      <c r="G6" s="15" t="s">
        <v>432</v>
      </c>
      <c r="H6" s="15" t="s">
        <v>433</v>
      </c>
      <c r="I6" s="15" t="s">
        <v>434</v>
      </c>
      <c r="J6" s="17" t="s">
        <v>435</v>
      </c>
      <c r="K6" s="15" t="s">
        <v>436</v>
      </c>
      <c r="L6" s="15" t="s">
        <v>437</v>
      </c>
      <c r="M6" s="15" t="s">
        <v>438</v>
      </c>
      <c r="N6" s="15" t="s">
        <v>439</v>
      </c>
      <c r="O6" s="17" t="s">
        <v>440</v>
      </c>
      <c r="P6" s="31" t="s">
        <v>501</v>
      </c>
    </row>
    <row r="7" spans="1:16" ht="24.95" customHeight="1" x14ac:dyDescent="0.2">
      <c r="A7" s="70" t="s">
        <v>398</v>
      </c>
      <c r="B7" s="9" t="s">
        <v>612</v>
      </c>
      <c r="C7" s="9">
        <v>10</v>
      </c>
      <c r="D7" s="9">
        <v>177</v>
      </c>
      <c r="E7" s="18">
        <v>179</v>
      </c>
      <c r="F7" s="21">
        <v>356</v>
      </c>
      <c r="G7" s="9">
        <v>665</v>
      </c>
      <c r="H7" s="9">
        <v>174</v>
      </c>
      <c r="I7" s="9">
        <v>90</v>
      </c>
      <c r="J7" s="18">
        <v>95</v>
      </c>
      <c r="K7" s="9">
        <v>14</v>
      </c>
      <c r="L7" s="9" t="s">
        <v>612</v>
      </c>
      <c r="M7" s="9">
        <v>16</v>
      </c>
      <c r="N7" s="9">
        <v>22</v>
      </c>
      <c r="O7" s="18">
        <v>22</v>
      </c>
      <c r="P7" s="9">
        <v>1832</v>
      </c>
    </row>
    <row r="8" spans="1:16" ht="24.95" customHeight="1" x14ac:dyDescent="0.2">
      <c r="A8" s="42" t="s">
        <v>399</v>
      </c>
      <c r="B8" s="9">
        <v>325</v>
      </c>
      <c r="C8" s="9">
        <v>677</v>
      </c>
      <c r="D8" s="9">
        <v>1833</v>
      </c>
      <c r="E8" s="18">
        <v>3405</v>
      </c>
      <c r="F8" s="21">
        <v>2824</v>
      </c>
      <c r="G8" s="9">
        <v>1047</v>
      </c>
      <c r="H8" s="9">
        <v>414</v>
      </c>
      <c r="I8" s="9">
        <v>426</v>
      </c>
      <c r="J8" s="18">
        <v>745</v>
      </c>
      <c r="K8" s="9">
        <v>571</v>
      </c>
      <c r="L8" s="9">
        <v>618</v>
      </c>
      <c r="M8" s="9">
        <v>1141</v>
      </c>
      <c r="N8" s="9">
        <v>1008</v>
      </c>
      <c r="O8" s="18">
        <v>1213</v>
      </c>
      <c r="P8" s="9">
        <v>16247</v>
      </c>
    </row>
    <row r="9" spans="1:16" ht="24.95" customHeight="1" x14ac:dyDescent="0.2">
      <c r="A9" s="50" t="s">
        <v>400</v>
      </c>
      <c r="B9" s="9">
        <v>1273</v>
      </c>
      <c r="C9" s="9">
        <v>751</v>
      </c>
      <c r="D9" s="9">
        <v>2646</v>
      </c>
      <c r="E9" s="18">
        <v>3835</v>
      </c>
      <c r="F9" s="21">
        <v>1359</v>
      </c>
      <c r="G9" s="9">
        <v>499</v>
      </c>
      <c r="H9" s="9">
        <v>84</v>
      </c>
      <c r="I9" s="9">
        <v>195</v>
      </c>
      <c r="J9" s="18">
        <v>756</v>
      </c>
      <c r="K9" s="9">
        <v>360</v>
      </c>
      <c r="L9" s="9">
        <v>996</v>
      </c>
      <c r="M9" s="9">
        <v>1083</v>
      </c>
      <c r="N9" s="9">
        <v>891</v>
      </c>
      <c r="O9" s="18">
        <v>1516</v>
      </c>
      <c r="P9" s="9">
        <v>16244</v>
      </c>
    </row>
    <row r="10" spans="1:16" ht="24.95" customHeight="1" x14ac:dyDescent="0.2">
      <c r="A10" s="42" t="s">
        <v>401</v>
      </c>
      <c r="B10" s="9">
        <v>58</v>
      </c>
      <c r="C10" s="9">
        <v>126</v>
      </c>
      <c r="D10" s="9">
        <v>287</v>
      </c>
      <c r="E10" s="18">
        <v>756</v>
      </c>
      <c r="F10" s="21">
        <v>1164</v>
      </c>
      <c r="G10" s="9">
        <v>430</v>
      </c>
      <c r="H10" s="9">
        <v>214</v>
      </c>
      <c r="I10" s="9">
        <v>194</v>
      </c>
      <c r="J10" s="18">
        <v>286</v>
      </c>
      <c r="K10" s="9">
        <v>148</v>
      </c>
      <c r="L10" s="9">
        <v>89</v>
      </c>
      <c r="M10" s="9">
        <v>260</v>
      </c>
      <c r="N10" s="9">
        <v>266</v>
      </c>
      <c r="O10" s="18">
        <v>320</v>
      </c>
      <c r="P10" s="9">
        <v>4598</v>
      </c>
    </row>
    <row r="11" spans="1:16" ht="24.95" customHeight="1" x14ac:dyDescent="0.2">
      <c r="A11" s="50" t="s">
        <v>402</v>
      </c>
      <c r="B11" s="9" t="s">
        <v>612</v>
      </c>
      <c r="C11" s="9">
        <v>0</v>
      </c>
      <c r="D11" s="9" t="s">
        <v>612</v>
      </c>
      <c r="E11" s="18">
        <v>161</v>
      </c>
      <c r="F11" s="21">
        <v>1115</v>
      </c>
      <c r="G11" s="9">
        <v>382</v>
      </c>
      <c r="H11" s="9">
        <v>226</v>
      </c>
      <c r="I11" s="9">
        <v>172</v>
      </c>
      <c r="J11" s="18">
        <v>273</v>
      </c>
      <c r="K11" s="9">
        <v>176</v>
      </c>
      <c r="L11" s="9" t="s">
        <v>612</v>
      </c>
      <c r="M11" s="9">
        <v>140</v>
      </c>
      <c r="N11" s="9">
        <v>189</v>
      </c>
      <c r="O11" s="18">
        <v>286</v>
      </c>
      <c r="P11" s="9">
        <v>3124</v>
      </c>
    </row>
    <row r="12" spans="1:16" ht="24.95" customHeight="1" x14ac:dyDescent="0.2">
      <c r="A12" s="42" t="s">
        <v>403</v>
      </c>
      <c r="B12" s="9">
        <v>0</v>
      </c>
      <c r="C12" s="9">
        <v>29</v>
      </c>
      <c r="D12" s="9" t="s">
        <v>612</v>
      </c>
      <c r="E12" s="18">
        <v>169</v>
      </c>
      <c r="F12" s="21">
        <v>980</v>
      </c>
      <c r="G12" s="9">
        <v>254</v>
      </c>
      <c r="H12" s="9">
        <v>150</v>
      </c>
      <c r="I12" s="9">
        <v>233</v>
      </c>
      <c r="J12" s="18">
        <v>220</v>
      </c>
      <c r="K12" s="9">
        <v>98</v>
      </c>
      <c r="L12" s="9" t="s">
        <v>612</v>
      </c>
      <c r="M12" s="9">
        <v>40</v>
      </c>
      <c r="N12" s="9">
        <v>31</v>
      </c>
      <c r="O12" s="18">
        <v>35</v>
      </c>
      <c r="P12" s="9">
        <v>2246</v>
      </c>
    </row>
    <row r="13" spans="1:16" ht="24.95" customHeight="1" x14ac:dyDescent="0.2">
      <c r="A13" s="42" t="s">
        <v>404</v>
      </c>
      <c r="B13" s="9" t="s">
        <v>612</v>
      </c>
      <c r="C13" s="9">
        <v>10</v>
      </c>
      <c r="D13" s="9">
        <v>0</v>
      </c>
      <c r="E13" s="18" t="s">
        <v>612</v>
      </c>
      <c r="F13" s="21">
        <v>12</v>
      </c>
      <c r="G13" s="9">
        <v>6</v>
      </c>
      <c r="H13" s="9">
        <v>7</v>
      </c>
      <c r="I13" s="9">
        <v>9</v>
      </c>
      <c r="J13" s="18">
        <v>10</v>
      </c>
      <c r="K13" s="9">
        <v>23</v>
      </c>
      <c r="L13" s="9">
        <v>27</v>
      </c>
      <c r="M13" s="9">
        <v>72</v>
      </c>
      <c r="N13" s="9">
        <v>147</v>
      </c>
      <c r="O13" s="18">
        <v>250</v>
      </c>
      <c r="P13" s="9">
        <v>580</v>
      </c>
    </row>
    <row r="14" spans="1:16" ht="24.95" customHeight="1" x14ac:dyDescent="0.2">
      <c r="A14" s="71" t="s">
        <v>405</v>
      </c>
      <c r="B14" s="9">
        <v>5</v>
      </c>
      <c r="C14" s="9" t="s">
        <v>612</v>
      </c>
      <c r="D14" s="9">
        <v>86</v>
      </c>
      <c r="E14" s="18">
        <v>180</v>
      </c>
      <c r="F14" s="21">
        <v>85</v>
      </c>
      <c r="G14" s="9">
        <v>89</v>
      </c>
      <c r="H14" s="9">
        <v>35</v>
      </c>
      <c r="I14" s="9">
        <v>30</v>
      </c>
      <c r="J14" s="18" t="s">
        <v>612</v>
      </c>
      <c r="K14" s="9">
        <v>14</v>
      </c>
      <c r="L14" s="9">
        <v>31</v>
      </c>
      <c r="M14" s="9">
        <v>33</v>
      </c>
      <c r="N14" s="9">
        <v>18</v>
      </c>
      <c r="O14" s="18">
        <v>31</v>
      </c>
      <c r="P14" s="9">
        <v>660</v>
      </c>
    </row>
    <row r="15" spans="1:16" ht="24.95" customHeight="1" x14ac:dyDescent="0.2">
      <c r="A15" s="42" t="s">
        <v>406</v>
      </c>
      <c r="B15" s="9" t="s">
        <v>612</v>
      </c>
      <c r="C15" s="9">
        <v>12</v>
      </c>
      <c r="D15" s="9">
        <v>22</v>
      </c>
      <c r="E15" s="18">
        <v>95</v>
      </c>
      <c r="F15" s="21">
        <v>92</v>
      </c>
      <c r="G15" s="9">
        <v>22</v>
      </c>
      <c r="H15" s="9">
        <v>14</v>
      </c>
      <c r="I15" s="9">
        <v>22</v>
      </c>
      <c r="J15" s="18">
        <v>31</v>
      </c>
      <c r="K15" s="9" t="s">
        <v>612</v>
      </c>
      <c r="L15" s="9" t="s">
        <v>612</v>
      </c>
      <c r="M15" s="9" t="s">
        <v>612</v>
      </c>
      <c r="N15" s="9">
        <v>20</v>
      </c>
      <c r="O15" s="18" t="s">
        <v>612</v>
      </c>
      <c r="P15" s="9">
        <v>420</v>
      </c>
    </row>
    <row r="16" spans="1:16" ht="24.95" customHeight="1" x14ac:dyDescent="0.2">
      <c r="A16" s="42" t="s">
        <v>407</v>
      </c>
      <c r="B16" s="9" t="s">
        <v>612</v>
      </c>
      <c r="C16" s="9">
        <v>26</v>
      </c>
      <c r="D16" s="9">
        <v>76</v>
      </c>
      <c r="E16" s="18">
        <v>160</v>
      </c>
      <c r="F16" s="21">
        <v>126</v>
      </c>
      <c r="G16" s="9">
        <v>74</v>
      </c>
      <c r="H16" s="9">
        <v>40</v>
      </c>
      <c r="I16" s="9" t="s">
        <v>612</v>
      </c>
      <c r="J16" s="18">
        <v>46</v>
      </c>
      <c r="K16" s="9">
        <v>30</v>
      </c>
      <c r="L16" s="9">
        <v>30</v>
      </c>
      <c r="M16" s="9" t="s">
        <v>612</v>
      </c>
      <c r="N16" s="9">
        <v>54</v>
      </c>
      <c r="O16" s="18">
        <v>70</v>
      </c>
      <c r="P16" s="9">
        <v>820</v>
      </c>
    </row>
    <row r="17" spans="1:16" ht="24.95" customHeight="1" x14ac:dyDescent="0.2">
      <c r="A17" s="42" t="s">
        <v>408</v>
      </c>
      <c r="B17" s="9">
        <v>9</v>
      </c>
      <c r="C17" s="9" t="s">
        <v>612</v>
      </c>
      <c r="D17" s="9">
        <v>112</v>
      </c>
      <c r="E17" s="18" t="s">
        <v>612</v>
      </c>
      <c r="F17" s="21">
        <v>146</v>
      </c>
      <c r="G17" s="9">
        <v>65</v>
      </c>
      <c r="H17" s="9">
        <v>40</v>
      </c>
      <c r="I17" s="9" t="s">
        <v>612</v>
      </c>
      <c r="J17" s="18" t="s">
        <v>612</v>
      </c>
      <c r="K17" s="9" t="s">
        <v>612</v>
      </c>
      <c r="L17" s="9">
        <v>32</v>
      </c>
      <c r="M17" s="9">
        <v>53</v>
      </c>
      <c r="N17" s="9">
        <v>31</v>
      </c>
      <c r="O17" s="18" t="s">
        <v>612</v>
      </c>
      <c r="P17" s="9">
        <v>887</v>
      </c>
    </row>
    <row r="18" spans="1:16" ht="24.95" customHeight="1" thickBot="1" x14ac:dyDescent="0.3">
      <c r="A18" s="30" t="s">
        <v>376</v>
      </c>
      <c r="B18" s="10">
        <v>1691</v>
      </c>
      <c r="C18" s="10">
        <v>1680</v>
      </c>
      <c r="D18" s="10">
        <v>5245</v>
      </c>
      <c r="E18" s="19">
        <v>9162</v>
      </c>
      <c r="F18" s="22">
        <v>8259</v>
      </c>
      <c r="G18" s="10">
        <v>3533</v>
      </c>
      <c r="H18" s="10">
        <v>1398</v>
      </c>
      <c r="I18" s="10">
        <v>1441</v>
      </c>
      <c r="J18" s="19">
        <v>2506</v>
      </c>
      <c r="K18" s="10">
        <v>1481</v>
      </c>
      <c r="L18" s="10">
        <v>1851</v>
      </c>
      <c r="M18" s="10">
        <v>2900</v>
      </c>
      <c r="N18" s="10">
        <v>2677</v>
      </c>
      <c r="O18" s="19">
        <v>3834</v>
      </c>
      <c r="P18" s="10">
        <v>47658</v>
      </c>
    </row>
  </sheetData>
  <hyperlinks>
    <hyperlink ref="A5" r:id="rId1" xr:uid="{00000000-0004-0000-1700-000000000000}"/>
  </hyperlinks>
  <pageMargins left="0.7" right="0.7" top="0.75" bottom="0.75" header="0.3" footer="0.3"/>
  <pageSetup paperSize="9" orientation="portrait" horizontalDpi="300" verticalDpi="300"/>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1"/>
  <sheetViews>
    <sheetView showGridLines="0" zoomScaleNormal="100" workbookViewId="0"/>
  </sheetViews>
  <sheetFormatPr defaultColWidth="11.5546875" defaultRowHeight="15" x14ac:dyDescent="0.2"/>
  <cols>
    <col min="1" max="1" width="50.6640625" style="40" customWidth="1"/>
    <col min="2" max="100" width="15.6640625" customWidth="1"/>
  </cols>
  <sheetData>
    <row r="1" spans="1:16" ht="20.25" x14ac:dyDescent="0.3">
      <c r="A1" s="39" t="s">
        <v>630</v>
      </c>
    </row>
    <row r="2" spans="1:16" x14ac:dyDescent="0.2">
      <c r="A2" s="40" t="s">
        <v>37</v>
      </c>
    </row>
    <row r="3" spans="1:16" x14ac:dyDescent="0.2">
      <c r="A3" s="40" t="s">
        <v>139</v>
      </c>
    </row>
    <row r="4" spans="1:16" x14ac:dyDescent="0.2">
      <c r="A4" s="41" t="str">
        <f>HYPERLINK("#Notes!A1", "Link to Notes table")</f>
        <v>Link to Notes table</v>
      </c>
    </row>
    <row r="5" spans="1:16" ht="15.75" thickBot="1" x14ac:dyDescent="0.25">
      <c r="A5" s="41" t="s">
        <v>140</v>
      </c>
    </row>
    <row r="6" spans="1:16" ht="63.75" thickBot="1" x14ac:dyDescent="0.3">
      <c r="A6" s="43" t="s">
        <v>394</v>
      </c>
      <c r="B6" s="15" t="s">
        <v>448</v>
      </c>
      <c r="C6" s="15" t="s">
        <v>449</v>
      </c>
      <c r="D6" s="15" t="s">
        <v>450</v>
      </c>
      <c r="E6" s="17" t="s">
        <v>451</v>
      </c>
      <c r="F6" s="20" t="s">
        <v>452</v>
      </c>
      <c r="G6" s="15" t="s">
        <v>453</v>
      </c>
      <c r="H6" s="15" t="s">
        <v>454</v>
      </c>
      <c r="I6" s="15" t="s">
        <v>455</v>
      </c>
      <c r="J6" s="17" t="s">
        <v>456</v>
      </c>
      <c r="K6" s="15" t="s">
        <v>457</v>
      </c>
      <c r="L6" s="15" t="s">
        <v>458</v>
      </c>
      <c r="M6" s="15" t="s">
        <v>459</v>
      </c>
      <c r="N6" s="15" t="s">
        <v>460</v>
      </c>
      <c r="O6" s="17" t="s">
        <v>461</v>
      </c>
      <c r="P6" s="31" t="s">
        <v>502</v>
      </c>
    </row>
    <row r="7" spans="1:16" ht="24.95" customHeight="1" x14ac:dyDescent="0.2">
      <c r="A7" s="42" t="s">
        <v>398</v>
      </c>
      <c r="B7" s="9" t="s">
        <v>612</v>
      </c>
      <c r="C7" s="9" t="s">
        <v>612</v>
      </c>
      <c r="D7" s="9">
        <v>174.99904824999999</v>
      </c>
      <c r="E7" s="18">
        <v>23610.607781250001</v>
      </c>
      <c r="F7" s="21">
        <v>55118.0968775</v>
      </c>
      <c r="G7" s="9">
        <v>113668.54596875</v>
      </c>
      <c r="H7" s="9">
        <v>33181.471307500004</v>
      </c>
      <c r="I7" s="9">
        <v>23438.26841225</v>
      </c>
      <c r="J7" s="18">
        <v>23651.534755000001</v>
      </c>
      <c r="K7" s="9">
        <v>1546.9385762500001</v>
      </c>
      <c r="L7" s="9" t="s">
        <v>612</v>
      </c>
      <c r="M7" s="9">
        <v>990.89155249999999</v>
      </c>
      <c r="N7" s="9">
        <v>1768.8395849999999</v>
      </c>
      <c r="O7" s="18">
        <v>1067.7101237500001</v>
      </c>
      <c r="P7" s="9">
        <v>278389.37607925001</v>
      </c>
    </row>
    <row r="8" spans="1:16" ht="24.95" customHeight="1" x14ac:dyDescent="0.2">
      <c r="A8" s="42" t="s">
        <v>399</v>
      </c>
      <c r="B8" s="9">
        <v>3268.8852737500001</v>
      </c>
      <c r="C8" s="9">
        <v>11409.44519375</v>
      </c>
      <c r="D8" s="9">
        <v>26716.626953750001</v>
      </c>
      <c r="E8" s="18">
        <v>509551.8374285</v>
      </c>
      <c r="F8" s="21">
        <v>124265.51894475</v>
      </c>
      <c r="G8" s="9">
        <v>61683.51306125</v>
      </c>
      <c r="H8" s="9">
        <v>7097.3301425</v>
      </c>
      <c r="I8" s="9">
        <v>7897.6235337500002</v>
      </c>
      <c r="J8" s="18">
        <v>36308.883478750002</v>
      </c>
      <c r="K8" s="9">
        <v>33733.753752500001</v>
      </c>
      <c r="L8" s="9">
        <v>77996.715784999993</v>
      </c>
      <c r="M8" s="9">
        <v>32434.44568275</v>
      </c>
      <c r="N8" s="9">
        <v>39285.1571625</v>
      </c>
      <c r="O8" s="18">
        <v>60112.701614999998</v>
      </c>
      <c r="P8" s="9">
        <v>1031762.4380085</v>
      </c>
    </row>
    <row r="9" spans="1:16" ht="24.95" customHeight="1" x14ac:dyDescent="0.2">
      <c r="A9" s="50" t="s">
        <v>400</v>
      </c>
      <c r="B9" s="9">
        <v>69607.712004500005</v>
      </c>
      <c r="C9" s="9">
        <v>65170.248238749999</v>
      </c>
      <c r="D9" s="9">
        <v>27366.915738</v>
      </c>
      <c r="E9" s="18">
        <v>1051361.3274109999</v>
      </c>
      <c r="F9" s="21">
        <v>254837.26386325</v>
      </c>
      <c r="G9" s="9">
        <v>317884.81365500001</v>
      </c>
      <c r="H9" s="9">
        <v>5701.6587950000003</v>
      </c>
      <c r="I9" s="9">
        <v>45606.227501250003</v>
      </c>
      <c r="J9" s="18">
        <v>216401.76191999999</v>
      </c>
      <c r="K9" s="9">
        <v>110856.91690500001</v>
      </c>
      <c r="L9" s="9">
        <v>344995.94024375</v>
      </c>
      <c r="M9" s="9">
        <v>135363.59190375</v>
      </c>
      <c r="N9" s="9">
        <v>140823.81924124999</v>
      </c>
      <c r="O9" s="18">
        <v>292554.78400375001</v>
      </c>
      <c r="P9" s="9">
        <v>3078532.9814242502</v>
      </c>
    </row>
    <row r="10" spans="1:16" ht="24.95" customHeight="1" x14ac:dyDescent="0.2">
      <c r="A10" s="42" t="s">
        <v>401</v>
      </c>
      <c r="B10" s="9">
        <v>205.31534500000001</v>
      </c>
      <c r="C10" s="9">
        <v>853.15350375000003</v>
      </c>
      <c r="D10" s="9">
        <v>437.14961849999997</v>
      </c>
      <c r="E10" s="18">
        <v>29744.232882849999</v>
      </c>
      <c r="F10" s="21">
        <v>88109.529074999999</v>
      </c>
      <c r="G10" s="9">
        <v>40114.657234999999</v>
      </c>
      <c r="H10" s="9">
        <v>19998.123907500001</v>
      </c>
      <c r="I10" s="9">
        <v>11685.511525</v>
      </c>
      <c r="J10" s="18">
        <v>33622.284643500003</v>
      </c>
      <c r="K10" s="9">
        <v>13008.25191875</v>
      </c>
      <c r="L10" s="9">
        <v>2608.1423292499999</v>
      </c>
      <c r="M10" s="9">
        <v>6568.8656600000004</v>
      </c>
      <c r="N10" s="9">
        <v>4334.8665172250003</v>
      </c>
      <c r="O10" s="18">
        <v>13159.31147375</v>
      </c>
      <c r="P10" s="9">
        <v>264449.39563507499</v>
      </c>
    </row>
    <row r="11" spans="1:16" ht="24.95" customHeight="1" x14ac:dyDescent="0.2">
      <c r="A11" s="50" t="s">
        <v>402</v>
      </c>
      <c r="B11" s="9" t="s">
        <v>612</v>
      </c>
      <c r="C11" s="9">
        <v>0</v>
      </c>
      <c r="D11" s="9" t="s">
        <v>612</v>
      </c>
      <c r="E11" s="18">
        <v>3950.8258525000001</v>
      </c>
      <c r="F11" s="21">
        <v>40961.635298749999</v>
      </c>
      <c r="G11" s="9">
        <v>11195.60293375</v>
      </c>
      <c r="H11" s="9">
        <v>7535.4798424999999</v>
      </c>
      <c r="I11" s="9">
        <v>5092.29106125</v>
      </c>
      <c r="J11" s="18">
        <v>9474.53655875</v>
      </c>
      <c r="K11" s="9">
        <v>10223.824827500001</v>
      </c>
      <c r="L11" s="9" t="s">
        <v>612</v>
      </c>
      <c r="M11" s="9">
        <v>3288.2614199999998</v>
      </c>
      <c r="N11" s="9">
        <v>8568.6721675000008</v>
      </c>
      <c r="O11" s="18">
        <v>13703.896763750001</v>
      </c>
      <c r="P11" s="9">
        <v>114011.44121624999</v>
      </c>
    </row>
    <row r="12" spans="1:16" ht="24.95" customHeight="1" x14ac:dyDescent="0.2">
      <c r="A12" s="42" t="s">
        <v>403</v>
      </c>
      <c r="B12" s="9">
        <v>0</v>
      </c>
      <c r="C12" s="9">
        <v>733.16300124999998</v>
      </c>
      <c r="D12" s="9" t="s">
        <v>612</v>
      </c>
      <c r="E12" s="18">
        <v>13333.5325925</v>
      </c>
      <c r="F12" s="21">
        <v>92514.458717500005</v>
      </c>
      <c r="G12" s="9">
        <v>20953.413307499999</v>
      </c>
      <c r="H12" s="9">
        <v>15432.362806249999</v>
      </c>
      <c r="I12" s="9">
        <v>29433.525425</v>
      </c>
      <c r="J12" s="18">
        <v>38917.953103749998</v>
      </c>
      <c r="K12" s="9">
        <v>7622.17389</v>
      </c>
      <c r="L12" s="9" t="s">
        <v>612</v>
      </c>
      <c r="M12" s="9">
        <v>3380.7804325000002</v>
      </c>
      <c r="N12" s="9">
        <v>1792.5681750000001</v>
      </c>
      <c r="O12" s="18">
        <v>2948.6811524999998</v>
      </c>
      <c r="P12" s="9">
        <v>227263.48136375</v>
      </c>
    </row>
    <row r="13" spans="1:16" ht="24.95" customHeight="1" x14ac:dyDescent="0.2">
      <c r="A13" s="42" t="s">
        <v>404</v>
      </c>
      <c r="B13" s="9" t="s">
        <v>612</v>
      </c>
      <c r="C13" s="9">
        <v>2059.4</v>
      </c>
      <c r="D13" s="9">
        <v>0</v>
      </c>
      <c r="E13" s="18" t="s">
        <v>612</v>
      </c>
      <c r="F13" s="21">
        <v>1633.42973375</v>
      </c>
      <c r="G13" s="9">
        <v>972.13</v>
      </c>
      <c r="H13" s="9">
        <v>1639.57</v>
      </c>
      <c r="I13" s="9">
        <v>1242.43</v>
      </c>
      <c r="J13" s="18">
        <v>4395.8999999999996</v>
      </c>
      <c r="K13" s="9">
        <v>3674.89</v>
      </c>
      <c r="L13" s="9">
        <v>6278.93</v>
      </c>
      <c r="M13" s="9">
        <v>10901.89</v>
      </c>
      <c r="N13" s="9">
        <v>24998.21</v>
      </c>
      <c r="O13" s="18">
        <v>51527.272024999998</v>
      </c>
      <c r="P13" s="9">
        <v>109808.244875</v>
      </c>
    </row>
    <row r="14" spans="1:16" ht="24.95" customHeight="1" x14ac:dyDescent="0.2">
      <c r="A14" s="50" t="s">
        <v>405</v>
      </c>
      <c r="B14" s="9">
        <v>18.172958749999999</v>
      </c>
      <c r="C14" s="9" t="s">
        <v>612</v>
      </c>
      <c r="D14" s="9">
        <v>329.89430377500003</v>
      </c>
      <c r="E14" s="18">
        <v>480.57768399999998</v>
      </c>
      <c r="F14" s="21">
        <v>3700.989087425</v>
      </c>
      <c r="G14" s="9">
        <v>7835.8719248999996</v>
      </c>
      <c r="H14" s="9">
        <v>2606.1408803499999</v>
      </c>
      <c r="I14" s="9" t="s">
        <v>612</v>
      </c>
      <c r="J14" s="18" t="s">
        <v>612</v>
      </c>
      <c r="K14" s="9" t="s">
        <v>612</v>
      </c>
      <c r="L14" s="9">
        <v>358.21858850000001</v>
      </c>
      <c r="M14" s="9">
        <v>73.085378662500005</v>
      </c>
      <c r="N14" s="9">
        <v>88.847356562499996</v>
      </c>
      <c r="O14" s="18" t="s">
        <v>612</v>
      </c>
      <c r="P14" s="9">
        <v>16136.677530912501</v>
      </c>
    </row>
    <row r="15" spans="1:16" ht="24.95" customHeight="1" x14ac:dyDescent="0.2">
      <c r="A15" s="42" t="s">
        <v>406</v>
      </c>
      <c r="B15" s="9" t="s">
        <v>612</v>
      </c>
      <c r="C15" s="9">
        <v>85.131379999999993</v>
      </c>
      <c r="D15" s="9" t="s">
        <v>612</v>
      </c>
      <c r="E15" s="18">
        <v>205.47065075</v>
      </c>
      <c r="F15" s="21">
        <v>3451.8782689999998</v>
      </c>
      <c r="G15" s="9">
        <v>179.92651749999999</v>
      </c>
      <c r="H15" s="9">
        <v>270.07883125000001</v>
      </c>
      <c r="I15" s="9">
        <v>456.55001750000002</v>
      </c>
      <c r="J15" s="18">
        <v>1833.10609875</v>
      </c>
      <c r="K15" s="9" t="s">
        <v>612</v>
      </c>
      <c r="L15" s="9" t="s">
        <v>612</v>
      </c>
      <c r="M15" s="9" t="s">
        <v>612</v>
      </c>
      <c r="N15" s="9">
        <v>28.33704625</v>
      </c>
      <c r="O15" s="18" t="s">
        <v>612</v>
      </c>
      <c r="P15" s="9">
        <v>8052.5855684999997</v>
      </c>
    </row>
    <row r="16" spans="1:16" ht="24.95" customHeight="1" x14ac:dyDescent="0.2">
      <c r="A16" s="42" t="s">
        <v>407</v>
      </c>
      <c r="B16" s="9" t="s">
        <v>612</v>
      </c>
      <c r="C16" s="9">
        <v>24.547896250000001</v>
      </c>
      <c r="D16" s="9">
        <v>42.945619999999998</v>
      </c>
      <c r="E16" s="18">
        <v>337.96942174999998</v>
      </c>
      <c r="F16" s="21">
        <v>2592.6287287499999</v>
      </c>
      <c r="G16" s="9">
        <v>1256.8061975000001</v>
      </c>
      <c r="H16" s="9">
        <v>77.457548750000001</v>
      </c>
      <c r="I16" s="9" t="s">
        <v>612</v>
      </c>
      <c r="J16" s="18">
        <v>4447.3044474999997</v>
      </c>
      <c r="K16" s="9">
        <v>103.53785000000001</v>
      </c>
      <c r="L16" s="9">
        <v>16.563218750000001</v>
      </c>
      <c r="M16" s="9" t="s">
        <v>612</v>
      </c>
      <c r="N16" s="9">
        <v>1140.4180475000001</v>
      </c>
      <c r="O16" s="18">
        <v>1358.5502712499999</v>
      </c>
      <c r="P16" s="9">
        <v>12193.219590500001</v>
      </c>
    </row>
    <row r="17" spans="1:16" ht="24.95" customHeight="1" x14ac:dyDescent="0.2">
      <c r="A17" s="42" t="s">
        <v>408</v>
      </c>
      <c r="B17" s="9" t="s">
        <v>612</v>
      </c>
      <c r="C17" s="9" t="s">
        <v>612</v>
      </c>
      <c r="D17" s="9">
        <v>207.84906624999999</v>
      </c>
      <c r="E17" s="18" t="s">
        <v>612</v>
      </c>
      <c r="F17" s="21">
        <v>1280.46540125</v>
      </c>
      <c r="G17" s="9">
        <v>3045.0739174999999</v>
      </c>
      <c r="H17" s="9">
        <v>252.13731749999999</v>
      </c>
      <c r="I17" s="9" t="s">
        <v>612</v>
      </c>
      <c r="J17" s="18" t="s">
        <v>612</v>
      </c>
      <c r="K17" s="9" t="s">
        <v>612</v>
      </c>
      <c r="L17" s="9">
        <v>2806.6696075</v>
      </c>
      <c r="M17" s="9">
        <v>2106.6546637500001</v>
      </c>
      <c r="N17" s="9">
        <v>1456.3221375000001</v>
      </c>
      <c r="O17" s="18" t="s">
        <v>612</v>
      </c>
      <c r="P17" s="9">
        <v>21960.6269125</v>
      </c>
    </row>
    <row r="18" spans="1:16" ht="24.95" customHeight="1" thickBot="1" x14ac:dyDescent="0.3">
      <c r="A18" s="30" t="s">
        <v>376</v>
      </c>
      <c r="B18" s="10">
        <v>73433.517387</v>
      </c>
      <c r="C18" s="10">
        <v>80438.919850000006</v>
      </c>
      <c r="D18" s="10">
        <v>55327.161066025001</v>
      </c>
      <c r="E18" s="19">
        <v>1639993.5361951001</v>
      </c>
      <c r="F18" s="22">
        <v>668465.89399692498</v>
      </c>
      <c r="G18" s="10">
        <v>578790.35471864999</v>
      </c>
      <c r="H18" s="10">
        <v>93791.811379100007</v>
      </c>
      <c r="I18" s="10">
        <v>125758.61560200001</v>
      </c>
      <c r="J18" s="19">
        <v>370189.66734099999</v>
      </c>
      <c r="K18" s="10">
        <v>181515.27044125</v>
      </c>
      <c r="L18" s="10">
        <v>435439.17077149998</v>
      </c>
      <c r="M18" s="10">
        <v>195723.013053912</v>
      </c>
      <c r="N18" s="10">
        <v>224286.057436287</v>
      </c>
      <c r="O18" s="19">
        <v>439407.47896573797</v>
      </c>
      <c r="P18" s="10">
        <v>5162560.4682044899</v>
      </c>
    </row>
    <row r="21" spans="1:16" x14ac:dyDescent="0.2">
      <c r="I21" s="54"/>
    </row>
  </sheetData>
  <hyperlinks>
    <hyperlink ref="A5" r:id="rId1" xr:uid="{00000000-0004-0000-1800-000000000000}"/>
  </hyperlinks>
  <pageMargins left="0.7" right="0.7" top="0.75" bottom="0.75" header="0.3" footer="0.3"/>
  <pageSetup paperSize="9" orientation="portrait" horizontalDpi="300" verticalDpi="300"/>
  <legacy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8"/>
  <sheetViews>
    <sheetView showGridLines="0" zoomScaleNormal="100" workbookViewId="0"/>
  </sheetViews>
  <sheetFormatPr defaultColWidth="11.5546875" defaultRowHeight="15" x14ac:dyDescent="0.2"/>
  <cols>
    <col min="1" max="1" width="50.6640625" style="40" customWidth="1"/>
    <col min="2" max="100" width="15.6640625" customWidth="1"/>
  </cols>
  <sheetData>
    <row r="1" spans="1:10" ht="20.25" x14ac:dyDescent="0.3">
      <c r="A1" s="39" t="s">
        <v>629</v>
      </c>
    </row>
    <row r="2" spans="1:10" x14ac:dyDescent="0.2">
      <c r="A2" s="40" t="s">
        <v>37</v>
      </c>
    </row>
    <row r="3" spans="1:10" x14ac:dyDescent="0.2">
      <c r="A3" s="40" t="s">
        <v>139</v>
      </c>
    </row>
    <row r="4" spans="1:10" x14ac:dyDescent="0.2">
      <c r="A4" s="41" t="str">
        <f>HYPERLINK("#Notes!A1", "Link to Notes table")</f>
        <v>Link to Notes table</v>
      </c>
    </row>
    <row r="5" spans="1:10" ht="15.75" thickBot="1" x14ac:dyDescent="0.25">
      <c r="A5" s="41" t="s">
        <v>140</v>
      </c>
    </row>
    <row r="6" spans="1:10" ht="63.75" thickBot="1" x14ac:dyDescent="0.3">
      <c r="A6" s="43" t="s">
        <v>394</v>
      </c>
      <c r="B6" s="15" t="s">
        <v>503</v>
      </c>
      <c r="C6" s="15" t="s">
        <v>504</v>
      </c>
      <c r="D6" s="15" t="s">
        <v>505</v>
      </c>
      <c r="E6" s="15" t="s">
        <v>506</v>
      </c>
      <c r="F6" s="15" t="s">
        <v>507</v>
      </c>
      <c r="G6" s="15" t="s">
        <v>508</v>
      </c>
      <c r="H6" s="15" t="s">
        <v>509</v>
      </c>
      <c r="I6" s="17" t="s">
        <v>510</v>
      </c>
      <c r="J6" s="31" t="s">
        <v>511</v>
      </c>
    </row>
    <row r="7" spans="1:10" ht="24.95" customHeight="1" x14ac:dyDescent="0.2">
      <c r="A7" s="42" t="s">
        <v>398</v>
      </c>
      <c r="B7" s="9">
        <v>269</v>
      </c>
      <c r="C7" s="9">
        <v>90</v>
      </c>
      <c r="D7" s="9">
        <v>41</v>
      </c>
      <c r="E7" s="9">
        <v>50</v>
      </c>
      <c r="F7" s="9">
        <v>180</v>
      </c>
      <c r="G7" s="9">
        <v>346</v>
      </c>
      <c r="H7" s="9">
        <v>449</v>
      </c>
      <c r="I7" s="18">
        <v>407</v>
      </c>
      <c r="J7" s="9">
        <v>1832</v>
      </c>
    </row>
    <row r="8" spans="1:10" ht="24.95" customHeight="1" x14ac:dyDescent="0.2">
      <c r="A8" s="42" t="s">
        <v>399</v>
      </c>
      <c r="B8" s="9">
        <v>6364</v>
      </c>
      <c r="C8" s="9">
        <v>3434</v>
      </c>
      <c r="D8" s="9">
        <v>1986</v>
      </c>
      <c r="E8" s="9">
        <v>1459</v>
      </c>
      <c r="F8" s="9">
        <v>1402</v>
      </c>
      <c r="G8" s="9">
        <v>747</v>
      </c>
      <c r="H8" s="9">
        <v>355</v>
      </c>
      <c r="I8" s="18">
        <v>500</v>
      </c>
      <c r="J8" s="9">
        <v>16247</v>
      </c>
    </row>
    <row r="9" spans="1:10" ht="24.95" customHeight="1" x14ac:dyDescent="0.2">
      <c r="A9" s="50" t="s">
        <v>400</v>
      </c>
      <c r="B9" s="9">
        <v>3085</v>
      </c>
      <c r="C9" s="9">
        <v>2192</v>
      </c>
      <c r="D9" s="9">
        <v>1758</v>
      </c>
      <c r="E9" s="9">
        <v>1679</v>
      </c>
      <c r="F9" s="9">
        <v>2052</v>
      </c>
      <c r="G9" s="9">
        <v>1643</v>
      </c>
      <c r="H9" s="9">
        <v>1578</v>
      </c>
      <c r="I9" s="18">
        <v>2257</v>
      </c>
      <c r="J9" s="9">
        <v>16244</v>
      </c>
    </row>
    <row r="10" spans="1:10" ht="24.95" customHeight="1" x14ac:dyDescent="0.2">
      <c r="A10" s="42" t="s">
        <v>401</v>
      </c>
      <c r="B10" s="9">
        <v>2319</v>
      </c>
      <c r="C10" s="9">
        <v>644</v>
      </c>
      <c r="D10" s="9">
        <v>269</v>
      </c>
      <c r="E10" s="9">
        <v>157</v>
      </c>
      <c r="F10" s="9">
        <v>185</v>
      </c>
      <c r="G10" s="9">
        <v>268</v>
      </c>
      <c r="H10" s="9">
        <v>352</v>
      </c>
      <c r="I10" s="18">
        <v>404</v>
      </c>
      <c r="J10" s="9">
        <v>4598</v>
      </c>
    </row>
    <row r="11" spans="1:10" ht="24.95" customHeight="1" x14ac:dyDescent="0.2">
      <c r="A11" s="50" t="s">
        <v>402</v>
      </c>
      <c r="B11" s="9">
        <v>785</v>
      </c>
      <c r="C11" s="9">
        <v>724</v>
      </c>
      <c r="D11" s="9">
        <v>352</v>
      </c>
      <c r="E11" s="9">
        <v>285</v>
      </c>
      <c r="F11" s="9">
        <v>371</v>
      </c>
      <c r="G11" s="9">
        <v>265</v>
      </c>
      <c r="H11" s="9">
        <v>226</v>
      </c>
      <c r="I11" s="18">
        <v>116</v>
      </c>
      <c r="J11" s="9">
        <v>3124</v>
      </c>
    </row>
    <row r="12" spans="1:10" ht="24.95" customHeight="1" x14ac:dyDescent="0.2">
      <c r="A12" s="42" t="s">
        <v>403</v>
      </c>
      <c r="B12" s="9">
        <v>107</v>
      </c>
      <c r="C12" s="9">
        <v>166</v>
      </c>
      <c r="D12" s="9">
        <v>165</v>
      </c>
      <c r="E12" s="9">
        <v>206</v>
      </c>
      <c r="F12" s="9">
        <v>423</v>
      </c>
      <c r="G12" s="9">
        <v>448</v>
      </c>
      <c r="H12" s="9">
        <v>440</v>
      </c>
      <c r="I12" s="18">
        <v>291</v>
      </c>
      <c r="J12" s="9">
        <v>2246</v>
      </c>
    </row>
    <row r="13" spans="1:10" ht="24.95" customHeight="1" x14ac:dyDescent="0.2">
      <c r="A13" s="42" t="s">
        <v>404</v>
      </c>
      <c r="B13" s="9" t="s">
        <v>612</v>
      </c>
      <c r="C13" s="9" t="s">
        <v>612</v>
      </c>
      <c r="D13" s="9" t="s">
        <v>612</v>
      </c>
      <c r="E13" s="9">
        <v>0</v>
      </c>
      <c r="F13" s="9">
        <v>15</v>
      </c>
      <c r="G13" s="9">
        <v>136</v>
      </c>
      <c r="H13" s="9">
        <v>260</v>
      </c>
      <c r="I13" s="18">
        <v>161</v>
      </c>
      <c r="J13" s="9">
        <v>580</v>
      </c>
    </row>
    <row r="14" spans="1:10" ht="24.95" customHeight="1" x14ac:dyDescent="0.2">
      <c r="A14" s="50" t="s">
        <v>405</v>
      </c>
      <c r="B14" s="9">
        <v>351</v>
      </c>
      <c r="C14" s="9">
        <v>115</v>
      </c>
      <c r="D14" s="9">
        <v>58</v>
      </c>
      <c r="E14" s="9">
        <v>34</v>
      </c>
      <c r="F14" s="9">
        <v>35</v>
      </c>
      <c r="G14" s="9">
        <v>20</v>
      </c>
      <c r="H14" s="9">
        <v>22</v>
      </c>
      <c r="I14" s="18">
        <v>25</v>
      </c>
      <c r="J14" s="9">
        <v>660</v>
      </c>
    </row>
    <row r="15" spans="1:10" ht="24.95" customHeight="1" x14ac:dyDescent="0.2">
      <c r="A15" s="42" t="s">
        <v>406</v>
      </c>
      <c r="B15" s="9">
        <v>300</v>
      </c>
      <c r="C15" s="9">
        <v>45</v>
      </c>
      <c r="D15" s="9">
        <v>15</v>
      </c>
      <c r="E15" s="9">
        <v>9</v>
      </c>
      <c r="F15" s="9">
        <v>10</v>
      </c>
      <c r="G15" s="9">
        <v>16</v>
      </c>
      <c r="H15" s="9">
        <v>14</v>
      </c>
      <c r="I15" s="18">
        <v>11</v>
      </c>
      <c r="J15" s="9">
        <v>420</v>
      </c>
    </row>
    <row r="16" spans="1:10" ht="24.95" customHeight="1" x14ac:dyDescent="0.2">
      <c r="A16" s="42" t="s">
        <v>407</v>
      </c>
      <c r="B16" s="9">
        <v>655</v>
      </c>
      <c r="C16" s="9">
        <v>65</v>
      </c>
      <c r="D16" s="9">
        <v>21</v>
      </c>
      <c r="E16" s="9">
        <v>19</v>
      </c>
      <c r="F16" s="9">
        <v>13</v>
      </c>
      <c r="G16" s="9">
        <v>9</v>
      </c>
      <c r="H16" s="9">
        <v>22</v>
      </c>
      <c r="I16" s="18">
        <v>16</v>
      </c>
      <c r="J16" s="9">
        <v>820</v>
      </c>
    </row>
    <row r="17" spans="1:10" ht="24.95" customHeight="1" x14ac:dyDescent="0.2">
      <c r="A17" s="42" t="s">
        <v>408</v>
      </c>
      <c r="B17" s="9" t="s">
        <v>612</v>
      </c>
      <c r="C17" s="9" t="s">
        <v>612</v>
      </c>
      <c r="D17" s="9" t="s">
        <v>612</v>
      </c>
      <c r="E17" s="9">
        <v>41</v>
      </c>
      <c r="F17" s="9">
        <v>29</v>
      </c>
      <c r="G17" s="9">
        <v>23</v>
      </c>
      <c r="H17" s="9">
        <v>18</v>
      </c>
      <c r="I17" s="18">
        <v>23</v>
      </c>
      <c r="J17" s="9">
        <v>887</v>
      </c>
    </row>
    <row r="18" spans="1:10" ht="24.95" customHeight="1" thickBot="1" x14ac:dyDescent="0.3">
      <c r="A18" s="30" t="s">
        <v>376</v>
      </c>
      <c r="B18" s="10">
        <v>14740</v>
      </c>
      <c r="C18" s="10">
        <v>7647</v>
      </c>
      <c r="D18" s="10">
        <v>4749</v>
      </c>
      <c r="E18" s="10">
        <v>3939</v>
      </c>
      <c r="F18" s="10">
        <v>4715</v>
      </c>
      <c r="G18" s="10">
        <v>3921</v>
      </c>
      <c r="H18" s="10">
        <v>3736</v>
      </c>
      <c r="I18" s="19">
        <v>4211</v>
      </c>
      <c r="J18" s="10">
        <v>47658</v>
      </c>
    </row>
  </sheetData>
  <hyperlinks>
    <hyperlink ref="A5" r:id="rId1" xr:uid="{00000000-0004-0000-1900-000000000000}"/>
  </hyperlinks>
  <pageMargins left="0.7" right="0.7" top="0.75" bottom="0.75" header="0.3" footer="0.3"/>
  <pageSetup paperSize="9" orientation="portrait" horizontalDpi="300" verticalDpi="300"/>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1"/>
  <sheetViews>
    <sheetView showGridLines="0" zoomScaleNormal="100" workbookViewId="0"/>
  </sheetViews>
  <sheetFormatPr defaultColWidth="11.5546875" defaultRowHeight="15" x14ac:dyDescent="0.2"/>
  <cols>
    <col min="1" max="1" width="50.6640625" style="40" customWidth="1"/>
    <col min="2" max="99" width="15.6640625" customWidth="1"/>
  </cols>
  <sheetData>
    <row r="1" spans="1:10" ht="20.25" x14ac:dyDescent="0.3">
      <c r="A1" s="39" t="s">
        <v>632</v>
      </c>
    </row>
    <row r="2" spans="1:10" x14ac:dyDescent="0.2">
      <c r="A2" s="40" t="s">
        <v>37</v>
      </c>
    </row>
    <row r="3" spans="1:10" x14ac:dyDescent="0.2">
      <c r="A3" s="40" t="s">
        <v>139</v>
      </c>
    </row>
    <row r="4" spans="1:10" x14ac:dyDescent="0.2">
      <c r="A4" s="41" t="str">
        <f>HYPERLINK("#Notes!A1", "Link to Notes table")</f>
        <v>Link to Notes table</v>
      </c>
    </row>
    <row r="5" spans="1:10" ht="15.75" thickBot="1" x14ac:dyDescent="0.25">
      <c r="A5" s="41" t="s">
        <v>140</v>
      </c>
    </row>
    <row r="6" spans="1:10" ht="48" thickBot="1" x14ac:dyDescent="0.3">
      <c r="A6" s="43" t="s">
        <v>394</v>
      </c>
      <c r="B6" s="15" t="s">
        <v>512</v>
      </c>
      <c r="C6" s="15" t="s">
        <v>513</v>
      </c>
      <c r="D6" s="15" t="s">
        <v>514</v>
      </c>
      <c r="E6" s="15" t="s">
        <v>515</v>
      </c>
      <c r="F6" s="15" t="s">
        <v>516</v>
      </c>
      <c r="G6" s="15" t="s">
        <v>517</v>
      </c>
      <c r="H6" s="15" t="s">
        <v>518</v>
      </c>
      <c r="I6" s="15" t="s">
        <v>519</v>
      </c>
      <c r="J6" s="34" t="s">
        <v>413</v>
      </c>
    </row>
    <row r="7" spans="1:10" ht="24.95" customHeight="1" x14ac:dyDescent="0.2">
      <c r="A7" s="42" t="s">
        <v>398</v>
      </c>
      <c r="B7" s="9">
        <v>166.37149825</v>
      </c>
      <c r="C7" s="9">
        <v>287.23528625</v>
      </c>
      <c r="D7" s="9">
        <v>290.67461125</v>
      </c>
      <c r="E7" s="9">
        <v>741.23736250000002</v>
      </c>
      <c r="F7" s="9">
        <v>6515.3721137499997</v>
      </c>
      <c r="G7" s="9">
        <v>25691.542545</v>
      </c>
      <c r="H7" s="9">
        <v>65291.883902250003</v>
      </c>
      <c r="I7" s="9">
        <v>179405.05876000001</v>
      </c>
      <c r="J7" s="21">
        <v>278389.37607925001</v>
      </c>
    </row>
    <row r="8" spans="1:10" ht="24.95" customHeight="1" x14ac:dyDescent="0.2">
      <c r="A8" s="42" t="s">
        <v>399</v>
      </c>
      <c r="B8" s="9">
        <v>5964.1688247499997</v>
      </c>
      <c r="C8" s="9">
        <v>10999.592554999999</v>
      </c>
      <c r="D8" s="9">
        <v>14082.29923875</v>
      </c>
      <c r="E8" s="9">
        <v>20510.57254125</v>
      </c>
      <c r="F8" s="9">
        <v>44561.122972500001</v>
      </c>
      <c r="G8" s="9">
        <v>53157.269277500003</v>
      </c>
      <c r="H8" s="9">
        <v>48733.613635000002</v>
      </c>
      <c r="I8" s="9">
        <v>833753.79896375001</v>
      </c>
      <c r="J8" s="21">
        <v>1031762.4380085</v>
      </c>
    </row>
    <row r="9" spans="1:10" ht="24.95" customHeight="1" x14ac:dyDescent="0.2">
      <c r="A9" s="50" t="s">
        <v>400</v>
      </c>
      <c r="B9" s="9">
        <v>2459.9743817499998</v>
      </c>
      <c r="C9" s="9">
        <v>7261.2048729999997</v>
      </c>
      <c r="D9" s="9">
        <v>12630.95541325</v>
      </c>
      <c r="E9" s="9">
        <v>24110.162422500001</v>
      </c>
      <c r="F9" s="9">
        <v>67988.115557500001</v>
      </c>
      <c r="G9" s="9">
        <v>119166.25842625</v>
      </c>
      <c r="H9" s="9">
        <v>224005.33655000001</v>
      </c>
      <c r="I9" s="9">
        <v>2620910.9737999998</v>
      </c>
      <c r="J9" s="21">
        <v>3078532.9814242502</v>
      </c>
    </row>
    <row r="10" spans="1:10" ht="24.95" customHeight="1" x14ac:dyDescent="0.2">
      <c r="A10" s="42" t="s">
        <v>401</v>
      </c>
      <c r="B10" s="9">
        <v>1798.3454943500001</v>
      </c>
      <c r="C10" s="9">
        <v>1988.015519475</v>
      </c>
      <c r="D10" s="9">
        <v>1836.32253375</v>
      </c>
      <c r="E10" s="9">
        <v>2220.8989425</v>
      </c>
      <c r="F10" s="9">
        <v>6070.9069437500002</v>
      </c>
      <c r="G10" s="9">
        <v>19578.032640000001</v>
      </c>
      <c r="H10" s="9">
        <v>50154.56405375</v>
      </c>
      <c r="I10" s="9">
        <v>180802.3095075</v>
      </c>
      <c r="J10" s="21">
        <v>264449.39563507499</v>
      </c>
    </row>
    <row r="11" spans="1:10" ht="24.95" customHeight="1" x14ac:dyDescent="0.2">
      <c r="A11" s="50" t="s">
        <v>402</v>
      </c>
      <c r="B11" s="9">
        <v>836.21207749999996</v>
      </c>
      <c r="C11" s="9">
        <v>2361.4524887500002</v>
      </c>
      <c r="D11" s="9">
        <v>2446.9229650000002</v>
      </c>
      <c r="E11" s="9">
        <v>4186.1147062500004</v>
      </c>
      <c r="F11" s="9">
        <v>12212.3443075</v>
      </c>
      <c r="G11" s="9">
        <v>18922.963773750002</v>
      </c>
      <c r="H11" s="9">
        <v>31408.950897499999</v>
      </c>
      <c r="I11" s="9">
        <v>41636.480000000003</v>
      </c>
      <c r="J11" s="21">
        <v>114011.44121624999</v>
      </c>
    </row>
    <row r="12" spans="1:10" ht="24.95" customHeight="1" x14ac:dyDescent="0.2">
      <c r="A12" s="42" t="s">
        <v>403</v>
      </c>
      <c r="B12" s="9">
        <v>113.87369</v>
      </c>
      <c r="C12" s="9">
        <v>573.00138749999996</v>
      </c>
      <c r="D12" s="9">
        <v>1184.7618325000001</v>
      </c>
      <c r="E12" s="9">
        <v>3007.8686775000001</v>
      </c>
      <c r="F12" s="9">
        <v>14038.174745</v>
      </c>
      <c r="G12" s="9">
        <v>32473.250378749999</v>
      </c>
      <c r="H12" s="9">
        <v>63173.310652499997</v>
      </c>
      <c r="I12" s="9">
        <v>112699.24</v>
      </c>
      <c r="J12" s="21">
        <v>227263.48136375</v>
      </c>
    </row>
    <row r="13" spans="1:10" ht="24.95" customHeight="1" x14ac:dyDescent="0.2">
      <c r="A13" s="42" t="s">
        <v>404</v>
      </c>
      <c r="B13" s="9" t="s">
        <v>612</v>
      </c>
      <c r="C13" s="9" t="s">
        <v>612</v>
      </c>
      <c r="D13" s="9" t="s">
        <v>612</v>
      </c>
      <c r="E13" s="9">
        <v>0</v>
      </c>
      <c r="F13" s="9">
        <v>563.1</v>
      </c>
      <c r="G13" s="9">
        <v>10533.381825</v>
      </c>
      <c r="H13" s="9">
        <v>37585.720200000003</v>
      </c>
      <c r="I13" s="9">
        <v>61083.86</v>
      </c>
      <c r="J13" s="21">
        <v>109808.244875</v>
      </c>
    </row>
    <row r="14" spans="1:10" ht="24.95" customHeight="1" x14ac:dyDescent="0.2">
      <c r="A14" s="50" t="s">
        <v>520</v>
      </c>
      <c r="B14" s="9">
        <v>236.9958945125</v>
      </c>
      <c r="C14" s="9">
        <v>365.60903998750001</v>
      </c>
      <c r="D14" s="9">
        <v>410.49674541249999</v>
      </c>
      <c r="E14" s="9">
        <v>471.35484124999999</v>
      </c>
      <c r="F14" s="9">
        <v>1074.6097097500001</v>
      </c>
      <c r="G14" s="9">
        <v>1567.4</v>
      </c>
      <c r="H14" s="9">
        <v>3339.09</v>
      </c>
      <c r="I14" s="9">
        <v>8671.1213000000007</v>
      </c>
      <c r="J14" s="21">
        <v>16136.677530912501</v>
      </c>
    </row>
    <row r="15" spans="1:10" ht="24.95" customHeight="1" x14ac:dyDescent="0.2">
      <c r="A15" s="42" t="s">
        <v>406</v>
      </c>
      <c r="B15" s="9">
        <v>150.23463475</v>
      </c>
      <c r="C15" s="9">
        <v>131.11366125000001</v>
      </c>
      <c r="D15" s="9">
        <v>97.967622500000004</v>
      </c>
      <c r="E15" s="9">
        <v>134.7997</v>
      </c>
      <c r="F15" s="9">
        <v>342.12995000000001</v>
      </c>
      <c r="G15" s="9">
        <v>1163.33</v>
      </c>
      <c r="H15" s="9">
        <v>2034.91</v>
      </c>
      <c r="I15" s="9">
        <v>3998.1</v>
      </c>
      <c r="J15" s="21">
        <v>8052.5855684999997</v>
      </c>
    </row>
    <row r="16" spans="1:10" ht="24.95" customHeight="1" x14ac:dyDescent="0.2">
      <c r="A16" s="42" t="s">
        <v>407</v>
      </c>
      <c r="B16" s="9">
        <v>175</v>
      </c>
      <c r="C16" s="9">
        <v>187</v>
      </c>
      <c r="D16" s="9">
        <v>152</v>
      </c>
      <c r="E16" s="9">
        <v>271.34351249999997</v>
      </c>
      <c r="F16" s="9">
        <v>423.14067999999997</v>
      </c>
      <c r="G16" s="9">
        <v>690.92</v>
      </c>
      <c r="H16" s="9">
        <v>3267.71</v>
      </c>
      <c r="I16" s="9">
        <v>7025.71</v>
      </c>
      <c r="J16" s="21">
        <v>12193.219590500001</v>
      </c>
    </row>
    <row r="17" spans="1:10" ht="24.95" customHeight="1" x14ac:dyDescent="0.2">
      <c r="A17" s="42" t="s">
        <v>408</v>
      </c>
      <c r="B17" s="9" t="s">
        <v>612</v>
      </c>
      <c r="C17" s="9" t="s">
        <v>612</v>
      </c>
      <c r="D17" s="9" t="s">
        <v>612</v>
      </c>
      <c r="E17" s="9">
        <v>564.47326499999997</v>
      </c>
      <c r="F17" s="9">
        <v>895.84244249999995</v>
      </c>
      <c r="G17" s="9">
        <v>1663.098735</v>
      </c>
      <c r="H17" s="9">
        <v>2507.4499999999998</v>
      </c>
      <c r="I17" s="9">
        <v>14886</v>
      </c>
      <c r="J17" s="21">
        <v>21960.6269125</v>
      </c>
    </row>
    <row r="18" spans="1:10" ht="24.95" customHeight="1" thickBot="1" x14ac:dyDescent="0.3">
      <c r="A18" s="30" t="s">
        <v>376</v>
      </c>
      <c r="B18" s="10">
        <v>12253.846092612501</v>
      </c>
      <c r="C18" s="10">
        <v>24696.421446212498</v>
      </c>
      <c r="D18" s="10">
        <v>33723.875448662497</v>
      </c>
      <c r="E18" s="10">
        <v>56218.82597125</v>
      </c>
      <c r="F18" s="10">
        <v>154684.85942225001</v>
      </c>
      <c r="G18" s="10">
        <v>284607.44760125002</v>
      </c>
      <c r="H18" s="10">
        <v>531502.53989100002</v>
      </c>
      <c r="I18" s="10">
        <v>4064872.6523312498</v>
      </c>
      <c r="J18" s="44">
        <v>5162560.4682044899</v>
      </c>
    </row>
    <row r="21" spans="1:10" x14ac:dyDescent="0.2">
      <c r="H21" s="54"/>
      <c r="I21" s="54"/>
      <c r="J21" s="54"/>
    </row>
  </sheetData>
  <hyperlinks>
    <hyperlink ref="A5" r:id="rId1" xr:uid="{00000000-0004-0000-1A00-000000000000}"/>
  </hyperlinks>
  <pageMargins left="0.7" right="0.7" top="0.75" bottom="0.75" header="0.3" footer="0.3"/>
  <pageSetup paperSize="9" orientation="portrait" horizontalDpi="300" verticalDpi="300"/>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4"/>
  <sheetViews>
    <sheetView showGridLines="0" zoomScaleNormal="100" workbookViewId="0"/>
  </sheetViews>
  <sheetFormatPr defaultColWidth="11.5546875" defaultRowHeight="15" x14ac:dyDescent="0.2"/>
  <cols>
    <col min="1" max="1" width="50.5546875" customWidth="1"/>
    <col min="2" max="12" width="16.6640625" customWidth="1"/>
  </cols>
  <sheetData>
    <row r="1" spans="1:12" ht="20.25" x14ac:dyDescent="0.3">
      <c r="A1" s="4" t="s">
        <v>576</v>
      </c>
    </row>
    <row r="2" spans="1:12" x14ac:dyDescent="0.2">
      <c r="A2" t="s">
        <v>37</v>
      </c>
    </row>
    <row r="3" spans="1:12" x14ac:dyDescent="0.2">
      <c r="A3" t="s">
        <v>139</v>
      </c>
    </row>
    <row r="4" spans="1:12" x14ac:dyDescent="0.2">
      <c r="A4" s="7" t="str">
        <f>HYPERLINK("#Notes!A1", "Link to Notes table")</f>
        <v>Link to Notes table</v>
      </c>
    </row>
    <row r="5" spans="1:12" ht="15.75" thickBot="1" x14ac:dyDescent="0.25">
      <c r="A5" s="7" t="s">
        <v>140</v>
      </c>
    </row>
    <row r="6" spans="1:12" ht="48" thickBot="1" x14ac:dyDescent="0.3">
      <c r="A6" s="14" t="s">
        <v>526</v>
      </c>
      <c r="B6" s="15" t="s">
        <v>527</v>
      </c>
      <c r="C6" s="15" t="s">
        <v>528</v>
      </c>
      <c r="D6" s="15" t="s">
        <v>529</v>
      </c>
      <c r="E6" s="15" t="s">
        <v>530</v>
      </c>
      <c r="F6" s="15" t="s">
        <v>531</v>
      </c>
      <c r="G6" s="15" t="s">
        <v>532</v>
      </c>
      <c r="H6" s="15" t="s">
        <v>533</v>
      </c>
      <c r="I6" s="15" t="s">
        <v>534</v>
      </c>
      <c r="J6" s="15" t="s">
        <v>535</v>
      </c>
      <c r="K6" s="15" t="s">
        <v>536</v>
      </c>
      <c r="L6" s="17" t="s">
        <v>537</v>
      </c>
    </row>
    <row r="7" spans="1:12" ht="24.95" customHeight="1" x14ac:dyDescent="0.2">
      <c r="A7" s="67" t="s">
        <v>538</v>
      </c>
      <c r="B7" s="32">
        <v>96.154774970000005</v>
      </c>
      <c r="C7" s="32">
        <v>95.532311059999998</v>
      </c>
      <c r="D7" s="32">
        <v>100.8257357</v>
      </c>
      <c r="E7" s="32">
        <v>108.06207740000001</v>
      </c>
      <c r="F7" s="32">
        <v>109.5139241</v>
      </c>
      <c r="G7" s="32">
        <v>110.7907125</v>
      </c>
      <c r="H7" s="32">
        <v>115.8651685</v>
      </c>
      <c r="I7" s="32">
        <v>118.073302</v>
      </c>
      <c r="J7" s="32">
        <v>126.5405215</v>
      </c>
      <c r="K7" s="32">
        <v>132.31445170000001</v>
      </c>
      <c r="L7" s="28">
        <v>132.59418181818199</v>
      </c>
    </row>
    <row r="8" spans="1:12" ht="24.95" customHeight="1" x14ac:dyDescent="0.2">
      <c r="A8" s="11" t="s">
        <v>539</v>
      </c>
      <c r="B8" s="32">
        <v>102.84881489999999</v>
      </c>
      <c r="C8" s="32">
        <v>103.30026460000001</v>
      </c>
      <c r="D8" s="32">
        <v>101.5825969</v>
      </c>
      <c r="E8" s="32">
        <v>104.5151515</v>
      </c>
      <c r="F8" s="32">
        <v>110.5205267</v>
      </c>
      <c r="G8" s="32">
        <v>115.766876</v>
      </c>
      <c r="H8" s="32">
        <v>119.3566929</v>
      </c>
      <c r="I8" s="32">
        <v>122.0234818</v>
      </c>
      <c r="J8" s="32">
        <v>123.1103001</v>
      </c>
      <c r="K8" s="32">
        <v>125.42256999999999</v>
      </c>
      <c r="L8" s="28">
        <v>131.71603856266401</v>
      </c>
    </row>
    <row r="9" spans="1:12" ht="24.95" customHeight="1" x14ac:dyDescent="0.25">
      <c r="A9" s="12" t="s">
        <v>540</v>
      </c>
      <c r="B9" s="33">
        <v>156.2312704</v>
      </c>
      <c r="C9" s="33">
        <v>155.2262911</v>
      </c>
      <c r="D9" s="33">
        <v>158.90147060000001</v>
      </c>
      <c r="E9" s="33">
        <v>169.0432261</v>
      </c>
      <c r="F9" s="33">
        <v>175.00776049999999</v>
      </c>
      <c r="G9" s="33">
        <v>178.29822619999999</v>
      </c>
      <c r="H9" s="33">
        <v>187.6504018</v>
      </c>
      <c r="I9" s="33">
        <v>190.02562610000001</v>
      </c>
      <c r="J9" s="33">
        <v>199.6120482</v>
      </c>
      <c r="K9" s="33">
        <v>205.31614490000001</v>
      </c>
      <c r="L9" s="29">
        <v>206.843905472637</v>
      </c>
    </row>
    <row r="10" spans="1:12" ht="24.95" customHeight="1" x14ac:dyDescent="0.2">
      <c r="A10" s="67" t="s">
        <v>541</v>
      </c>
      <c r="B10" s="32">
        <v>47.699366400000002</v>
      </c>
      <c r="C10" s="32">
        <v>48.14907109</v>
      </c>
      <c r="D10" s="32">
        <v>48.144575580000001</v>
      </c>
      <c r="E10" s="32">
        <v>48.113314119999998</v>
      </c>
      <c r="F10" s="32">
        <v>48.761338199999997</v>
      </c>
      <c r="G10" s="32">
        <v>48.992060670000001</v>
      </c>
      <c r="H10" s="32">
        <v>49.125210080000002</v>
      </c>
      <c r="I10" s="32">
        <v>48.56626061</v>
      </c>
      <c r="J10" s="32">
        <v>48.46186977</v>
      </c>
      <c r="K10" s="32">
        <v>48.372243840000003</v>
      </c>
      <c r="L10" s="28">
        <v>49.093992375443698</v>
      </c>
    </row>
    <row r="11" spans="1:12" ht="24.95" customHeight="1" x14ac:dyDescent="0.2">
      <c r="A11" s="11" t="s">
        <v>542</v>
      </c>
      <c r="B11" s="32">
        <v>47.61542146</v>
      </c>
      <c r="C11" s="32">
        <v>48.28798054</v>
      </c>
      <c r="D11" s="32">
        <v>48.903646610000003</v>
      </c>
      <c r="E11" s="32">
        <v>49.569480910000003</v>
      </c>
      <c r="F11" s="32">
        <v>50.385027839999999</v>
      </c>
      <c r="G11" s="32">
        <v>50.83440083</v>
      </c>
      <c r="H11" s="32">
        <v>51.026939200000001</v>
      </c>
      <c r="I11" s="32">
        <v>51.541546359999998</v>
      </c>
      <c r="J11" s="32">
        <v>52.643961830000002</v>
      </c>
      <c r="K11" s="32">
        <v>53.20429386</v>
      </c>
      <c r="L11" s="28">
        <v>54.589261440869997</v>
      </c>
    </row>
    <row r="12" spans="1:12" ht="24.95" customHeight="1" x14ac:dyDescent="0.25">
      <c r="A12" s="12" t="s">
        <v>543</v>
      </c>
      <c r="B12" s="33">
        <v>86.242264710000001</v>
      </c>
      <c r="C12" s="33">
        <v>87.219134350000004</v>
      </c>
      <c r="D12" s="33">
        <v>87.726066619999997</v>
      </c>
      <c r="E12" s="33">
        <v>88.736687840000002</v>
      </c>
      <c r="F12" s="33">
        <v>90.365338410000007</v>
      </c>
      <c r="G12" s="33">
        <v>90.815464849999998</v>
      </c>
      <c r="H12" s="33">
        <v>91.113483830000007</v>
      </c>
      <c r="I12" s="33">
        <v>90.959016390000002</v>
      </c>
      <c r="J12" s="33">
        <v>91.971955640000004</v>
      </c>
      <c r="K12" s="33">
        <v>92.145912499999994</v>
      </c>
      <c r="L12" s="29">
        <v>93.924673328209096</v>
      </c>
    </row>
    <row r="13" spans="1:12" ht="24.95" customHeight="1" x14ac:dyDescent="0.2">
      <c r="A13" s="11" t="s">
        <v>544</v>
      </c>
      <c r="B13" s="32">
        <v>50.347707370000002</v>
      </c>
      <c r="C13" s="32">
        <v>50.303497450000002</v>
      </c>
      <c r="D13" s="32">
        <v>50.285082979999999</v>
      </c>
      <c r="E13" s="32">
        <v>49.948132569999999</v>
      </c>
      <c r="F13" s="32">
        <v>50.602028269999998</v>
      </c>
      <c r="G13" s="32">
        <v>50.839008329999999</v>
      </c>
      <c r="H13" s="32">
        <v>50.538775510000001</v>
      </c>
      <c r="I13" s="32">
        <v>51.22385517</v>
      </c>
      <c r="J13" s="32">
        <v>51.760117809999997</v>
      </c>
      <c r="K13" s="32">
        <v>52.393342240000003</v>
      </c>
      <c r="L13" s="28">
        <v>54.1129635930589</v>
      </c>
    </row>
    <row r="14" spans="1:12" ht="24.95" customHeight="1" thickBot="1" x14ac:dyDescent="0.3">
      <c r="A14" s="30" t="s">
        <v>545</v>
      </c>
      <c r="B14" s="33">
        <v>154.31312009999999</v>
      </c>
      <c r="C14" s="33">
        <v>155.24117799999999</v>
      </c>
      <c r="D14" s="33">
        <v>156.06988530000001</v>
      </c>
      <c r="E14" s="33">
        <v>157.42387239999999</v>
      </c>
      <c r="F14" s="33">
        <v>160.92669169999999</v>
      </c>
      <c r="G14" s="33">
        <v>162.01195290000001</v>
      </c>
      <c r="H14" s="33">
        <v>162.9844258</v>
      </c>
      <c r="I14" s="33">
        <v>163.5835438</v>
      </c>
      <c r="J14" s="33">
        <v>166.7186969</v>
      </c>
      <c r="K14" s="33">
        <v>167.74652599999999</v>
      </c>
      <c r="L14" s="29">
        <v>171.53507777892099</v>
      </c>
    </row>
  </sheetData>
  <phoneticPr fontId="9" type="noConversion"/>
  <hyperlinks>
    <hyperlink ref="A5" r:id="rId1" xr:uid="{00000000-0004-0000-1C00-000000000000}"/>
  </hyperlinks>
  <pageMargins left="0.7" right="0.7" top="0.75" bottom="0.75" header="0.3" footer="0.3"/>
  <pageSetup paperSize="9" orientation="portrait" horizontalDpi="300" verticalDpi="300"/>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15"/>
  <sheetViews>
    <sheetView showGridLines="0" zoomScaleNormal="100" workbookViewId="0"/>
  </sheetViews>
  <sheetFormatPr defaultColWidth="11.5546875" defaultRowHeight="15" x14ac:dyDescent="0.2"/>
  <cols>
    <col min="1" max="1" width="50.5546875" customWidth="1"/>
    <col min="2" max="12" width="16.6640625" customWidth="1"/>
  </cols>
  <sheetData>
    <row r="1" spans="1:12" ht="20.25" x14ac:dyDescent="0.3">
      <c r="A1" s="4" t="s">
        <v>546</v>
      </c>
    </row>
    <row r="2" spans="1:12" x14ac:dyDescent="0.2">
      <c r="A2" t="s">
        <v>37</v>
      </c>
    </row>
    <row r="3" spans="1:12" x14ac:dyDescent="0.2">
      <c r="A3" t="s">
        <v>139</v>
      </c>
    </row>
    <row r="4" spans="1:12" x14ac:dyDescent="0.2">
      <c r="A4" s="7" t="str">
        <f>HYPERLINK("#Notes!A1", "Link to Notes table")</f>
        <v>Link to Notes table</v>
      </c>
    </row>
    <row r="5" spans="1:12" ht="15.75" thickBot="1" x14ac:dyDescent="0.25">
      <c r="A5" s="7" t="s">
        <v>140</v>
      </c>
    </row>
    <row r="6" spans="1:12" ht="32.25" thickBot="1" x14ac:dyDescent="0.3">
      <c r="A6" s="14" t="s">
        <v>547</v>
      </c>
      <c r="B6" s="15" t="s">
        <v>548</v>
      </c>
      <c r="C6" s="15" t="s">
        <v>549</v>
      </c>
      <c r="D6" s="15" t="s">
        <v>550</v>
      </c>
      <c r="E6" s="15" t="s">
        <v>551</v>
      </c>
      <c r="F6" s="15" t="s">
        <v>552</v>
      </c>
      <c r="G6" s="15" t="s">
        <v>553</v>
      </c>
      <c r="H6" s="15" t="s">
        <v>554</v>
      </c>
      <c r="I6" s="15" t="s">
        <v>555</v>
      </c>
      <c r="J6" s="15" t="s">
        <v>556</v>
      </c>
      <c r="K6" s="15" t="s">
        <v>557</v>
      </c>
      <c r="L6" s="17" t="s">
        <v>558</v>
      </c>
    </row>
    <row r="7" spans="1:12" ht="24.95" customHeight="1" x14ac:dyDescent="0.2">
      <c r="A7" s="11" t="s">
        <v>559</v>
      </c>
      <c r="B7" s="9">
        <v>708</v>
      </c>
      <c r="C7" s="9">
        <v>741</v>
      </c>
      <c r="D7" s="9">
        <v>679</v>
      </c>
      <c r="E7" s="9">
        <v>621</v>
      </c>
      <c r="F7" s="9">
        <v>603</v>
      </c>
      <c r="G7" s="9">
        <v>625</v>
      </c>
      <c r="H7" s="9">
        <v>570</v>
      </c>
      <c r="I7" s="9">
        <v>576</v>
      </c>
      <c r="J7" s="9">
        <v>522</v>
      </c>
      <c r="K7" s="9">
        <v>497</v>
      </c>
      <c r="L7" s="18">
        <v>527</v>
      </c>
    </row>
    <row r="8" spans="1:12" ht="24.95" customHeight="1" x14ac:dyDescent="0.2">
      <c r="A8" s="11" t="s">
        <v>560</v>
      </c>
      <c r="B8" s="9">
        <v>117</v>
      </c>
      <c r="C8" s="9">
        <v>128</v>
      </c>
      <c r="D8" s="9">
        <v>126</v>
      </c>
      <c r="E8" s="9">
        <v>105</v>
      </c>
      <c r="F8" s="9">
        <v>101</v>
      </c>
      <c r="G8" s="9">
        <v>98</v>
      </c>
      <c r="H8" s="9">
        <v>109</v>
      </c>
      <c r="I8" s="9">
        <v>114</v>
      </c>
      <c r="J8" s="9">
        <v>107</v>
      </c>
      <c r="K8" s="9">
        <v>108</v>
      </c>
      <c r="L8" s="18">
        <v>87</v>
      </c>
    </row>
    <row r="9" spans="1:12" ht="24.95" customHeight="1" x14ac:dyDescent="0.2">
      <c r="A9" s="11" t="s">
        <v>561</v>
      </c>
      <c r="B9" s="9">
        <v>75</v>
      </c>
      <c r="C9" s="9">
        <v>68</v>
      </c>
      <c r="D9" s="9">
        <v>66</v>
      </c>
      <c r="E9" s="9">
        <v>58</v>
      </c>
      <c r="F9" s="9">
        <v>61</v>
      </c>
      <c r="G9" s="9">
        <v>62</v>
      </c>
      <c r="H9" s="9">
        <v>66</v>
      </c>
      <c r="I9" s="9">
        <v>54</v>
      </c>
      <c r="J9" s="9">
        <v>61</v>
      </c>
      <c r="K9" s="9">
        <v>52</v>
      </c>
      <c r="L9" s="18">
        <v>52</v>
      </c>
    </row>
    <row r="10" spans="1:12" ht="24.95" customHeight="1" x14ac:dyDescent="0.2">
      <c r="A10" s="11" t="s">
        <v>562</v>
      </c>
      <c r="B10" s="9">
        <v>229</v>
      </c>
      <c r="C10" s="9">
        <v>206</v>
      </c>
      <c r="D10" s="9">
        <v>186</v>
      </c>
      <c r="E10" s="9">
        <v>172</v>
      </c>
      <c r="F10" s="9">
        <v>162</v>
      </c>
      <c r="G10" s="9">
        <v>143</v>
      </c>
      <c r="H10" s="9">
        <v>129</v>
      </c>
      <c r="I10" s="9">
        <v>121</v>
      </c>
      <c r="J10" s="9">
        <v>102</v>
      </c>
      <c r="K10" s="9">
        <v>95</v>
      </c>
      <c r="L10" s="18">
        <v>102</v>
      </c>
    </row>
    <row r="11" spans="1:12" ht="24.95" customHeight="1" x14ac:dyDescent="0.2">
      <c r="A11" s="11" t="s">
        <v>563</v>
      </c>
      <c r="B11" s="9">
        <v>441</v>
      </c>
      <c r="C11" s="9">
        <v>432</v>
      </c>
      <c r="D11" s="9">
        <v>407</v>
      </c>
      <c r="E11" s="9">
        <v>399</v>
      </c>
      <c r="F11" s="9">
        <v>373</v>
      </c>
      <c r="G11" s="9">
        <v>351</v>
      </c>
      <c r="H11" s="9">
        <v>343</v>
      </c>
      <c r="I11" s="9">
        <v>323</v>
      </c>
      <c r="J11" s="9">
        <v>315</v>
      </c>
      <c r="K11" s="9">
        <v>302</v>
      </c>
      <c r="L11" s="18">
        <v>284</v>
      </c>
    </row>
    <row r="12" spans="1:12" ht="24.95" customHeight="1" x14ac:dyDescent="0.2">
      <c r="A12" s="11" t="s">
        <v>564</v>
      </c>
      <c r="B12" s="9">
        <v>141</v>
      </c>
      <c r="C12" s="9">
        <v>144</v>
      </c>
      <c r="D12" s="9">
        <v>160</v>
      </c>
      <c r="E12" s="9">
        <v>151</v>
      </c>
      <c r="F12" s="9">
        <v>160</v>
      </c>
      <c r="G12" s="9">
        <v>157</v>
      </c>
      <c r="H12" s="9">
        <v>159</v>
      </c>
      <c r="I12" s="9">
        <v>155</v>
      </c>
      <c r="J12" s="9">
        <v>155</v>
      </c>
      <c r="K12" s="9">
        <v>164</v>
      </c>
      <c r="L12" s="18">
        <v>162</v>
      </c>
    </row>
    <row r="13" spans="1:12" ht="24.95" customHeight="1" x14ac:dyDescent="0.2">
      <c r="A13" s="11" t="s">
        <v>565</v>
      </c>
      <c r="B13" s="9">
        <v>75</v>
      </c>
      <c r="C13" s="9">
        <v>69</v>
      </c>
      <c r="D13" s="9">
        <v>69</v>
      </c>
      <c r="E13" s="9">
        <v>79</v>
      </c>
      <c r="F13" s="9">
        <v>74</v>
      </c>
      <c r="G13" s="9">
        <v>87</v>
      </c>
      <c r="H13" s="9">
        <v>87</v>
      </c>
      <c r="I13" s="9">
        <v>85</v>
      </c>
      <c r="J13" s="9">
        <v>98</v>
      </c>
      <c r="K13" s="9">
        <v>95</v>
      </c>
      <c r="L13" s="18">
        <v>93</v>
      </c>
    </row>
    <row r="14" spans="1:12" ht="24.95" customHeight="1" x14ac:dyDescent="0.2">
      <c r="A14" s="11" t="s">
        <v>566</v>
      </c>
      <c r="B14" s="9">
        <v>36</v>
      </c>
      <c r="C14" s="9">
        <v>38</v>
      </c>
      <c r="D14" s="9">
        <v>40</v>
      </c>
      <c r="E14" s="9">
        <v>42</v>
      </c>
      <c r="F14" s="9">
        <v>46</v>
      </c>
      <c r="G14" s="9">
        <v>49</v>
      </c>
      <c r="H14" s="9">
        <v>50</v>
      </c>
      <c r="I14" s="9">
        <v>59</v>
      </c>
      <c r="J14" s="9">
        <v>59</v>
      </c>
      <c r="K14" s="9">
        <v>64</v>
      </c>
      <c r="L14" s="18">
        <v>68</v>
      </c>
    </row>
    <row r="15" spans="1:12" ht="24.95" customHeight="1" thickBot="1" x14ac:dyDescent="0.3">
      <c r="A15" s="30" t="s">
        <v>376</v>
      </c>
      <c r="B15" s="10">
        <v>1822</v>
      </c>
      <c r="C15" s="10">
        <v>1826</v>
      </c>
      <c r="D15" s="10">
        <v>1733</v>
      </c>
      <c r="E15" s="10">
        <v>1627</v>
      </c>
      <c r="F15" s="10">
        <v>1580</v>
      </c>
      <c r="G15" s="10">
        <v>1572</v>
      </c>
      <c r="H15" s="10">
        <v>1513</v>
      </c>
      <c r="I15" s="10">
        <v>1487</v>
      </c>
      <c r="J15" s="10">
        <v>1419</v>
      </c>
      <c r="K15" s="10">
        <v>1377</v>
      </c>
      <c r="L15" s="19">
        <v>1375</v>
      </c>
    </row>
  </sheetData>
  <phoneticPr fontId="9" type="noConversion"/>
  <hyperlinks>
    <hyperlink ref="A5" r:id="rId1" xr:uid="{00000000-0004-0000-1D00-000000000000}"/>
  </hyperlinks>
  <pageMargins left="0.7" right="0.7" top="0.75" bottom="0.75" header="0.3" footer="0.3"/>
  <pageSetup paperSize="9" orientation="portrait" horizontalDpi="300" verticalDpi="300"/>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17"/>
  <sheetViews>
    <sheetView showGridLines="0" zoomScaleNormal="100" workbookViewId="0"/>
  </sheetViews>
  <sheetFormatPr defaultColWidth="11.5546875" defaultRowHeight="15" x14ac:dyDescent="0.2"/>
  <cols>
    <col min="1" max="1" width="50.5546875" customWidth="1"/>
    <col min="2" max="12" width="16.6640625" customWidth="1"/>
  </cols>
  <sheetData>
    <row r="1" spans="1:12" ht="20.25" x14ac:dyDescent="0.3">
      <c r="A1" s="4" t="s">
        <v>567</v>
      </c>
    </row>
    <row r="2" spans="1:12" x14ac:dyDescent="0.2">
      <c r="A2" t="s">
        <v>37</v>
      </c>
    </row>
    <row r="3" spans="1:12" x14ac:dyDescent="0.2">
      <c r="A3" t="s">
        <v>139</v>
      </c>
    </row>
    <row r="4" spans="1:12" x14ac:dyDescent="0.2">
      <c r="A4" s="7" t="str">
        <f>HYPERLINK("#Notes!A1", "Link to Notes table")</f>
        <v>Link to Notes table</v>
      </c>
    </row>
    <row r="5" spans="1:12" x14ac:dyDescent="0.2">
      <c r="A5" s="7" t="s">
        <v>140</v>
      </c>
    </row>
    <row r="6" spans="1:12" ht="31.5" x14ac:dyDescent="0.25">
      <c r="A6" s="14" t="s">
        <v>547</v>
      </c>
      <c r="B6" s="15" t="s">
        <v>548</v>
      </c>
      <c r="C6" s="15" t="s">
        <v>549</v>
      </c>
      <c r="D6" s="15" t="s">
        <v>550</v>
      </c>
      <c r="E6" s="15" t="s">
        <v>551</v>
      </c>
      <c r="F6" s="15" t="s">
        <v>552</v>
      </c>
      <c r="G6" s="15" t="s">
        <v>553</v>
      </c>
      <c r="H6" s="15" t="s">
        <v>554</v>
      </c>
      <c r="I6" s="15" t="s">
        <v>555</v>
      </c>
      <c r="J6" s="15" t="s">
        <v>556</v>
      </c>
      <c r="K6" s="15" t="s">
        <v>557</v>
      </c>
      <c r="L6" s="17" t="s">
        <v>558</v>
      </c>
    </row>
    <row r="7" spans="1:12" ht="24.95" customHeight="1" x14ac:dyDescent="0.2">
      <c r="A7" s="11" t="s">
        <v>559</v>
      </c>
      <c r="B7" s="9">
        <v>1899</v>
      </c>
      <c r="C7" s="9">
        <v>1831</v>
      </c>
      <c r="D7" s="9">
        <v>1774</v>
      </c>
      <c r="E7" s="9">
        <v>1751</v>
      </c>
      <c r="F7" s="9">
        <v>1658</v>
      </c>
      <c r="G7" s="9">
        <v>1634</v>
      </c>
      <c r="H7" s="9">
        <v>1605</v>
      </c>
      <c r="I7" s="9">
        <v>1589</v>
      </c>
      <c r="J7" s="9">
        <v>1514</v>
      </c>
      <c r="K7" s="9">
        <v>1531</v>
      </c>
      <c r="L7" s="18">
        <v>1486</v>
      </c>
    </row>
    <row r="8" spans="1:12" ht="24.95" customHeight="1" x14ac:dyDescent="0.2">
      <c r="A8" s="11" t="s">
        <v>560</v>
      </c>
      <c r="B8" s="9">
        <v>2203</v>
      </c>
      <c r="C8" s="9">
        <v>2176</v>
      </c>
      <c r="D8" s="9">
        <v>2157</v>
      </c>
      <c r="E8" s="9">
        <v>2125</v>
      </c>
      <c r="F8" s="9">
        <v>2068</v>
      </c>
      <c r="G8" s="9">
        <v>2080</v>
      </c>
      <c r="H8" s="9">
        <v>2051</v>
      </c>
      <c r="I8" s="9">
        <v>2004</v>
      </c>
      <c r="J8" s="9">
        <v>1955</v>
      </c>
      <c r="K8" s="9">
        <v>1896</v>
      </c>
      <c r="L8" s="18">
        <v>1895</v>
      </c>
    </row>
    <row r="9" spans="1:12" ht="24.95" customHeight="1" x14ac:dyDescent="0.2">
      <c r="A9" s="11" t="s">
        <v>561</v>
      </c>
      <c r="B9" s="9">
        <v>2038</v>
      </c>
      <c r="C9" s="9">
        <v>1994</v>
      </c>
      <c r="D9" s="9">
        <v>1974</v>
      </c>
      <c r="E9" s="9">
        <v>1930</v>
      </c>
      <c r="F9" s="9">
        <v>1931</v>
      </c>
      <c r="G9" s="9">
        <v>1874</v>
      </c>
      <c r="H9" s="9">
        <v>1886</v>
      </c>
      <c r="I9" s="9">
        <v>1833</v>
      </c>
      <c r="J9" s="9">
        <v>1803</v>
      </c>
      <c r="K9" s="9">
        <v>1742</v>
      </c>
      <c r="L9" s="18">
        <v>1715</v>
      </c>
    </row>
    <row r="10" spans="1:12" ht="24.95" customHeight="1" x14ac:dyDescent="0.2">
      <c r="A10" s="11" t="s">
        <v>562</v>
      </c>
      <c r="B10" s="9">
        <v>1743</v>
      </c>
      <c r="C10" s="9">
        <v>1750</v>
      </c>
      <c r="D10" s="9">
        <v>1696</v>
      </c>
      <c r="E10" s="9">
        <v>1670</v>
      </c>
      <c r="F10" s="9">
        <v>1629</v>
      </c>
      <c r="G10" s="9">
        <v>1643</v>
      </c>
      <c r="H10" s="9">
        <v>1574</v>
      </c>
      <c r="I10" s="9">
        <v>1534</v>
      </c>
      <c r="J10" s="9">
        <v>1502</v>
      </c>
      <c r="K10" s="9">
        <v>1449</v>
      </c>
      <c r="L10" s="18">
        <v>1403</v>
      </c>
    </row>
    <row r="11" spans="1:12" ht="24.95" customHeight="1" x14ac:dyDescent="0.2">
      <c r="A11" s="11" t="s">
        <v>563</v>
      </c>
      <c r="B11" s="9">
        <v>986</v>
      </c>
      <c r="C11" s="9">
        <v>958</v>
      </c>
      <c r="D11" s="9">
        <v>931</v>
      </c>
      <c r="E11" s="9">
        <v>920</v>
      </c>
      <c r="F11" s="9">
        <v>932</v>
      </c>
      <c r="G11" s="9">
        <v>935</v>
      </c>
      <c r="H11" s="9">
        <v>944</v>
      </c>
      <c r="I11" s="9">
        <v>899</v>
      </c>
      <c r="J11" s="9">
        <v>861</v>
      </c>
      <c r="K11" s="9">
        <v>833</v>
      </c>
      <c r="L11" s="18">
        <v>851</v>
      </c>
    </row>
    <row r="12" spans="1:12" ht="24.95" customHeight="1" x14ac:dyDescent="0.2">
      <c r="A12" s="11" t="s">
        <v>564</v>
      </c>
      <c r="B12" s="9">
        <v>206</v>
      </c>
      <c r="C12" s="9">
        <v>197</v>
      </c>
      <c r="D12" s="9">
        <v>196</v>
      </c>
      <c r="E12" s="9">
        <v>195</v>
      </c>
      <c r="F12" s="9">
        <v>187</v>
      </c>
      <c r="G12" s="9">
        <v>181</v>
      </c>
      <c r="H12" s="9">
        <v>187</v>
      </c>
      <c r="I12" s="9">
        <v>186</v>
      </c>
      <c r="J12" s="9">
        <v>178</v>
      </c>
      <c r="K12" s="9">
        <v>174</v>
      </c>
      <c r="L12" s="18">
        <v>167</v>
      </c>
    </row>
    <row r="13" spans="1:12" ht="24.95" customHeight="1" x14ac:dyDescent="0.2">
      <c r="A13" s="11" t="s">
        <v>565</v>
      </c>
      <c r="B13" s="9">
        <v>58</v>
      </c>
      <c r="C13" s="9">
        <v>61</v>
      </c>
      <c r="D13" s="9">
        <v>61</v>
      </c>
      <c r="E13" s="9">
        <v>65</v>
      </c>
      <c r="F13" s="9">
        <v>65</v>
      </c>
      <c r="G13" s="9">
        <v>72</v>
      </c>
      <c r="H13" s="9">
        <v>64</v>
      </c>
      <c r="I13" s="9">
        <v>59</v>
      </c>
      <c r="J13" s="9">
        <v>64</v>
      </c>
      <c r="K13" s="9">
        <v>71</v>
      </c>
      <c r="L13" s="18">
        <v>75</v>
      </c>
    </row>
    <row r="14" spans="1:12" ht="24.95" customHeight="1" x14ac:dyDescent="0.2">
      <c r="A14" s="11" t="s">
        <v>566</v>
      </c>
      <c r="B14" s="9">
        <v>21</v>
      </c>
      <c r="C14" s="9">
        <v>22</v>
      </c>
      <c r="D14" s="9">
        <v>23</v>
      </c>
      <c r="E14" s="9">
        <v>19</v>
      </c>
      <c r="F14" s="9">
        <v>19</v>
      </c>
      <c r="G14" s="9">
        <v>20</v>
      </c>
      <c r="H14" s="9">
        <v>19</v>
      </c>
      <c r="I14" s="9">
        <v>23</v>
      </c>
      <c r="J14" s="9">
        <v>17</v>
      </c>
      <c r="K14" s="9">
        <v>14</v>
      </c>
      <c r="L14" s="18">
        <v>15</v>
      </c>
    </row>
    <row r="15" spans="1:12" ht="24.95" customHeight="1" x14ac:dyDescent="0.25">
      <c r="A15" s="30" t="s">
        <v>376</v>
      </c>
      <c r="B15" s="10">
        <v>9154</v>
      </c>
      <c r="C15" s="10">
        <v>8989</v>
      </c>
      <c r="D15" s="10">
        <v>8812</v>
      </c>
      <c r="E15" s="10">
        <v>8675</v>
      </c>
      <c r="F15" s="10">
        <v>8489</v>
      </c>
      <c r="G15" s="10">
        <v>8439</v>
      </c>
      <c r="H15" s="10">
        <v>8330</v>
      </c>
      <c r="I15" s="10">
        <v>8127</v>
      </c>
      <c r="J15" s="10">
        <v>7894</v>
      </c>
      <c r="K15" s="10">
        <v>7710</v>
      </c>
      <c r="L15" s="19">
        <v>7607</v>
      </c>
    </row>
    <row r="17" spans="12:12" x14ac:dyDescent="0.2">
      <c r="L17" s="55"/>
    </row>
  </sheetData>
  <hyperlinks>
    <hyperlink ref="A5" r:id="rId1" xr:uid="{00000000-0004-0000-1E00-000000000000}"/>
  </hyperlinks>
  <pageMargins left="0.7" right="0.7" top="0.75" bottom="0.75" header="0.3" footer="0.3"/>
  <pageSetup paperSize="9" orientation="portrait" horizontalDpi="300" verticalDpi="30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7D80279D86B849A3EDF74675CEC2D1" ma:contentTypeVersion="16" ma:contentTypeDescription="Create a new document." ma:contentTypeScope="" ma:versionID="a19be5383604fd2b0d5480b830b8ac09">
  <xsd:schema xmlns:xsd="http://www.w3.org/2001/XMLSchema" xmlns:xs="http://www.w3.org/2001/XMLSchema" xmlns:p="http://schemas.microsoft.com/office/2006/metadata/properties" xmlns:ns2="88102e75-8a10-4cfc-9a6f-28ca16804fdc" xmlns:ns3="a13e2855-205b-47c1-af91-45affc400dcd" targetNamespace="http://schemas.microsoft.com/office/2006/metadata/properties" ma:root="true" ma:fieldsID="0659fc10c92c9b179da541bee47ab429" ns2:_="" ns3:_="">
    <xsd:import namespace="88102e75-8a10-4cfc-9a6f-28ca16804fdc"/>
    <xsd:import namespace="a13e2855-205b-47c1-af91-45affc400d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02e75-8a10-4cfc-9a6f-28ca1680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94d5e3d-88e3-4c55-b684-1c81dd55b71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Dateandtime" ma:index="23" nillable="true" ma:displayName="Date and time" ma:format="DateTime"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13e2855-205b-47c1-af91-45affc400d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3b2b62e-d9cd-47dc-ac3b-d87dfafcb05f}" ma:internalName="TaxCatchAll" ma:showField="CatchAllData" ma:web="a13e2855-205b-47c1-af91-45affc400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102e75-8a10-4cfc-9a6f-28ca16804fdc">
      <Terms xmlns="http://schemas.microsoft.com/office/infopath/2007/PartnerControls"/>
    </lcf76f155ced4ddcb4097134ff3c332f>
    <TaxCatchAll xmlns="a13e2855-205b-47c1-af91-45affc400dcd" xsi:nil="true"/>
    <Dateandtime xmlns="88102e75-8a10-4cfc-9a6f-28ca16804fdc" xsi:nil="true"/>
  </documentManagement>
</p:properties>
</file>

<file path=customXml/itemProps1.xml><?xml version="1.0" encoding="utf-8"?>
<ds:datastoreItem xmlns:ds="http://schemas.openxmlformats.org/officeDocument/2006/customXml" ds:itemID="{B0A02859-759A-4359-8A43-8AAD7B6EA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102e75-8a10-4cfc-9a6f-28ca16804fdc"/>
    <ds:schemaRef ds:uri="a13e2855-205b-47c1-af91-45affc400d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0F87E7-B56F-46FD-9C64-371674AB8806}">
  <ds:schemaRefs>
    <ds:schemaRef ds:uri="http://schemas.microsoft.com/sharepoint/v3/contenttype/forms"/>
  </ds:schemaRefs>
</ds:datastoreItem>
</file>

<file path=customXml/itemProps3.xml><?xml version="1.0" encoding="utf-8"?>
<ds:datastoreItem xmlns:ds="http://schemas.openxmlformats.org/officeDocument/2006/customXml" ds:itemID="{30F544FA-4232-4AF5-B48D-2BEFB29E6603}">
  <ds:schemaRefs>
    <ds:schemaRef ds:uri="http://www.w3.org/XML/1998/namespace"/>
    <ds:schemaRef ds:uri="http://schemas.microsoft.com/office/2006/documentManagement/types"/>
    <ds:schemaRef ds:uri="88102e75-8a10-4cfc-9a6f-28ca16804fdc"/>
    <ds:schemaRef ds:uri="http://purl.org/dc/dcmitype/"/>
    <ds:schemaRef ds:uri="http://purl.org/dc/terms/"/>
    <ds:schemaRef ds:uri="a13e2855-205b-47c1-af91-45affc400dcd"/>
    <ds:schemaRef ds:uri="http://schemas.microsoft.com/office/2006/metadata/properties"/>
    <ds:schemaRef ds:uri="http://schemas.microsoft.com/office/infopath/2007/PartnerControls"/>
    <ds:schemaRef ds:uri="http://schemas.openxmlformats.org/package/2006/metadata/core-properties"/>
    <ds:schemaRef ds:uri="http://purl.org/dc/elements/1.1/"/>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Cover</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U457484</dc:creator>
  <cp:keywords/>
  <dc:description/>
  <cp:lastModifiedBy>Euan Wakefield</cp:lastModifiedBy>
  <cp:revision/>
  <dcterms:created xsi:type="dcterms:W3CDTF">2026-09-18T14:26:02Z</dcterms:created>
  <dcterms:modified xsi:type="dcterms:W3CDTF">2026-10-06T15:22:00Z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0x0101001A7D80279D86B849A3EDF74675CEC2D1</vt:lpwstr>
  </property>
  <property fmtid="{D5CDD505-2E9C-101B-9397-08002B2CF9AE}" pid="3" name="MediaServiceImageTags">
    <vt:lpwstr/>
  </property>
</Properties>
</file>