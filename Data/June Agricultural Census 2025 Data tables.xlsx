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0177a\datashare\seerad\ags\census\branch1\NewStructure\Surveys\June\Main\June25\"/>
    </mc:Choice>
  </mc:AlternateContent>
  <xr:revisionPtr revIDLastSave="0" documentId="8_{8B79DB74-1F3C-40D0-80B1-3EEE3A355835}" xr6:coauthVersionLast="47" xr6:coauthVersionMax="47" xr10:uidLastSave="{00000000-0000-0000-0000-000000000000}"/>
  <bookViews>
    <workbookView xWindow="-103" yWindow="-103" windowWidth="16663" windowHeight="8743" tabRatio="880" xr2:uid="{00000000-000D-0000-FFFF-FFFF00000000}"/>
  </bookViews>
  <sheets>
    <sheet name="Cover" sheetId="1" r:id="rId1"/>
    <sheet name="Contents" sheetId="2" r:id="rId2"/>
    <sheet name="Notes" sheetId="3" r:id="rId3"/>
    <sheet name="Table_1" sheetId="4" r:id="rId4"/>
    <sheet name="Table_2" sheetId="5" r:id="rId5"/>
    <sheet name="Table_3" sheetId="6" r:id="rId6"/>
    <sheet name="Table_4" sheetId="7" r:id="rId7"/>
    <sheet name="Table_5" sheetId="8" r:id="rId8"/>
    <sheet name="Table_6" sheetId="9" r:id="rId9"/>
    <sheet name="Table_7" sheetId="10" r:id="rId10"/>
    <sheet name="Table_8" sheetId="11" r:id="rId11"/>
    <sheet name="Table_9" sheetId="12" r:id="rId12"/>
    <sheet name="Table_10" sheetId="13" r:id="rId13"/>
    <sheet name="Table_11" sheetId="14" r:id="rId14"/>
    <sheet name="Table_12" sheetId="15" r:id="rId15"/>
    <sheet name="Table_13" sheetId="16" r:id="rId16"/>
    <sheet name="Table_14" sheetId="17" r:id="rId17"/>
    <sheet name="Table_15" sheetId="18" r:id="rId18"/>
    <sheet name="Table_16" sheetId="19" r:id="rId19"/>
    <sheet name="Table_17" sheetId="20" r:id="rId20"/>
    <sheet name="Table_18" sheetId="21" r:id="rId21"/>
    <sheet name="Table_19" sheetId="22" r:id="rId22"/>
    <sheet name="Table_20" sheetId="23" r:id="rId23"/>
    <sheet name="Table_21" sheetId="24" r:id="rId24"/>
    <sheet name="Table_22" sheetId="25" r:id="rId25"/>
    <sheet name="Table_23" sheetId="26" r:id="rId26"/>
    <sheet name="Table_24" sheetId="27" r:id="rId27"/>
    <sheet name="Table_25" sheetId="28" r:id="rId28"/>
    <sheet name="Module_2025_Table_1" sheetId="29" r:id="rId29"/>
    <sheet name="Module_2025_Table_2" sheetId="30" r:id="rId3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3" l="1"/>
  <c r="A4" i="22"/>
  <c r="A4" i="21"/>
  <c r="A4" i="20"/>
  <c r="A4" i="19"/>
  <c r="A4" i="18"/>
  <c r="A4" i="17"/>
  <c r="A4" i="16"/>
  <c r="A4" i="15"/>
  <c r="A4" i="14"/>
  <c r="A4" i="13"/>
  <c r="A4" i="12"/>
  <c r="A4" i="11"/>
  <c r="A4" i="10"/>
  <c r="A4" i="9"/>
  <c r="A4" i="8"/>
  <c r="A4" i="7"/>
  <c r="A4" i="6"/>
  <c r="A4" i="5"/>
  <c r="A4" i="4"/>
</calcChain>
</file>

<file path=xl/sharedStrings.xml><?xml version="1.0" encoding="utf-8"?>
<sst xmlns="http://schemas.openxmlformats.org/spreadsheetml/2006/main" count="1689" uniqueCount="617">
  <si>
    <t>Scottish Agricultural Census: June 2025 Results</t>
  </si>
  <si>
    <t>An Accredited Official Statistics Publication for Scotland</t>
  </si>
  <si>
    <t>Information</t>
  </si>
  <si>
    <t>Data in this workbook relates to the 'Scottish Agricultural Census: June 2025' statistical release.</t>
  </si>
  <si>
    <t>This workbook contains data from the Scottish Agricultural Census: June 2025 Results. Final results from the 2025 June Agricultural Census on land use, crop areas, livestock and the number of people working on agricultural holdings.</t>
  </si>
  <si>
    <t>Some tables refer to notes. When notes are mentioned the note marker is presented in square brackets. The note text can be found in the Notes worksheet.</t>
  </si>
  <si>
    <t>Full details of the survey methodology are available from the Methodology and Quality Assurance Report.</t>
  </si>
  <si>
    <t>Useful links</t>
  </si>
  <si>
    <t>Results from the Scottish Agricultural Census: June 2025 - gov.scot</t>
  </si>
  <si>
    <t>Agricultural land use in England at 1 June 2025 - gov.uk</t>
  </si>
  <si>
    <t>Survey of agriculture and horticulture: June 2024 - gov.wales</t>
  </si>
  <si>
    <t>Department of Agriculture, Environment and Rural Affairs - Northern Ireland - ni.gov.uk</t>
  </si>
  <si>
    <t>Contact</t>
  </si>
  <si>
    <t>agric.stats@gov.scot</t>
  </si>
  <si>
    <t>Date of Publication</t>
  </si>
  <si>
    <t>30 October 2025</t>
  </si>
  <si>
    <t>Last updated</t>
  </si>
  <si>
    <t>Glossary</t>
  </si>
  <si>
    <r>
      <rPr>
        <b/>
        <sz val="12"/>
        <color rgb="FF000000"/>
        <rFont val="Arial"/>
        <family val="2"/>
      </rPr>
      <t>Agricultural holdings:</t>
    </r>
    <r>
      <rPr>
        <sz val="12"/>
        <color rgb="FF000000"/>
        <rFont val="Arial"/>
      </rPr>
      <t xml:space="preserve"> land and buildings used for horticulture, livestock, grazing, and various other uses.</t>
    </r>
  </si>
  <si>
    <r>
      <rPr>
        <b/>
        <sz val="12"/>
        <color rgb="FF000000"/>
        <rFont val="Arial"/>
        <family val="2"/>
      </rPr>
      <t>Area in sole occupation:</t>
    </r>
    <r>
      <rPr>
        <sz val="12"/>
        <color rgb="FF000000"/>
        <rFont val="Arial"/>
      </rPr>
      <t xml:space="preserve"> area of land for where there are sole occupiers of the land they farm, whether as owner-occupiers or tenants.</t>
    </r>
  </si>
  <si>
    <r>
      <rPr>
        <b/>
        <sz val="12"/>
        <color rgb="FF000000"/>
        <rFont val="Arial"/>
        <family val="2"/>
      </rPr>
      <t xml:space="preserve">Barley: </t>
    </r>
    <r>
      <rPr>
        <sz val="12"/>
        <color rgb="FF000000"/>
        <rFont val="Arial"/>
      </rPr>
      <t>spring and winter barley are sown in Scotland. Most of the barley in Scotland is the spring variety. Spring barley is sown around March. Winter barley is sown in the autumn.</t>
    </r>
  </si>
  <si>
    <r>
      <rPr>
        <b/>
        <sz val="12"/>
        <color rgb="FF000000"/>
        <rFont val="Arial"/>
        <family val="2"/>
      </rPr>
      <t xml:space="preserve">Gilt: </t>
    </r>
    <r>
      <rPr>
        <sz val="12"/>
        <color rgb="FF000000"/>
        <rFont val="Arial"/>
      </rPr>
      <t>a female pig that has not yet had a litter of piglets.</t>
    </r>
  </si>
  <si>
    <r>
      <rPr>
        <b/>
        <sz val="12"/>
        <color rgb="FF000000"/>
        <rFont val="Arial"/>
      </rPr>
      <t>Hectares (ha)</t>
    </r>
    <r>
      <rPr>
        <sz val="12"/>
        <color rgb="FF000000"/>
        <rFont val="Arial"/>
      </rPr>
      <t>: the land measurement used in agriculture. One hectare, or 10,000 square meters, is roughly the full size of a rugby pitch.</t>
    </r>
  </si>
  <si>
    <r>
      <rPr>
        <b/>
        <sz val="12"/>
        <color rgb="FF000000"/>
        <rFont val="Arial"/>
        <family val="2"/>
      </rPr>
      <t xml:space="preserve">Human consumption: </t>
    </r>
    <r>
      <rPr>
        <sz val="12"/>
        <color rgb="FF000000"/>
        <rFont val="Arial"/>
      </rPr>
      <t>vegetable crops for consumption by humans.</t>
    </r>
  </si>
  <si>
    <r>
      <rPr>
        <b/>
        <sz val="12"/>
        <color rgb="FF000000"/>
        <rFont val="Arial"/>
        <family val="2"/>
      </rPr>
      <t>Legal responsibility:</t>
    </r>
    <r>
      <rPr>
        <sz val="12"/>
        <color rgb="FF000000"/>
        <rFont val="Arial"/>
      </rPr>
      <t xml:space="preserve"> the person(s) or institution with the power of the decision-making, regarding the normal daily financial and production routines of the business.</t>
    </r>
  </si>
  <si>
    <r>
      <rPr>
        <b/>
        <sz val="12"/>
        <color rgb="FF000000"/>
        <rFont val="Arial"/>
        <family val="2"/>
      </rPr>
      <t>Liveweight pigs:</t>
    </r>
    <r>
      <rPr>
        <sz val="12"/>
        <color rgb="FF000000"/>
        <rFont val="Arial"/>
      </rPr>
      <t xml:space="preserve"> the length and girth of a pig is used to calculate the liveweight of a pig.</t>
    </r>
  </si>
  <si>
    <r>
      <rPr>
        <b/>
        <sz val="12"/>
        <color rgb="FF000000"/>
        <rFont val="Arial"/>
        <family val="2"/>
      </rPr>
      <t>Oats:</t>
    </r>
    <r>
      <rPr>
        <sz val="12"/>
        <color rgb="FF000000"/>
        <rFont val="Arial"/>
      </rPr>
      <t xml:space="preserve"> majority of oats grown in Scotland are sown in the spring.</t>
    </r>
  </si>
  <si>
    <r>
      <rPr>
        <b/>
        <sz val="12"/>
        <color rgb="FF000000"/>
        <rFont val="Arial"/>
        <family val="2"/>
      </rPr>
      <t>Person working days:</t>
    </r>
    <r>
      <rPr>
        <sz val="12"/>
        <color rgb="FF000000"/>
        <rFont val="Arial"/>
      </rPr>
      <t xml:space="preserve"> the number of workers multiplied by number of days they have worked. This provides an estimate of the number of working days workers have contributed to agricultural tasks.</t>
    </r>
  </si>
  <si>
    <r>
      <rPr>
        <b/>
        <sz val="12"/>
        <color rgb="FF000000"/>
        <rFont val="Arial"/>
        <family val="2"/>
      </rPr>
      <t xml:space="preserve">Seed potatoes: </t>
    </r>
    <r>
      <rPr>
        <sz val="12"/>
        <color rgb="FF000000"/>
        <rFont val="Arial"/>
      </rPr>
      <t>specifically grown for planting for potato cultivation.</t>
    </r>
  </si>
  <si>
    <r>
      <rPr>
        <b/>
        <sz val="12"/>
        <color rgb="FF000000"/>
        <rFont val="Arial"/>
        <family val="2"/>
      </rPr>
      <t>Sow:</t>
    </r>
    <r>
      <rPr>
        <sz val="12"/>
        <color rgb="FF000000"/>
        <rFont val="Arial"/>
      </rPr>
      <t xml:space="preserve"> an adult female pig that has had one or more litters of piglets.</t>
    </r>
  </si>
  <si>
    <r>
      <rPr>
        <b/>
        <sz val="12"/>
        <color rgb="FF000000"/>
        <rFont val="Arial"/>
        <family val="2"/>
      </rPr>
      <t>Stockfeed:</t>
    </r>
    <r>
      <rPr>
        <sz val="12"/>
        <color rgb="FF000000"/>
        <rFont val="Arial"/>
      </rPr>
      <t xml:space="preserve"> food or fodder for livestock.</t>
    </r>
  </si>
  <si>
    <r>
      <rPr>
        <b/>
        <sz val="12"/>
        <color rgb="FF000000"/>
        <rFont val="Arial"/>
        <family val="2"/>
      </rPr>
      <t xml:space="preserve">Ware potatoes: </t>
    </r>
    <r>
      <rPr>
        <sz val="12"/>
        <color rgb="FF000000"/>
        <rFont val="Arial"/>
      </rPr>
      <t>grown primarily for human consumption.</t>
    </r>
  </si>
  <si>
    <r>
      <rPr>
        <b/>
        <sz val="12"/>
        <color rgb="FF000000"/>
        <rFont val="Arial"/>
        <family val="2"/>
      </rPr>
      <t xml:space="preserve">Wheat: </t>
    </r>
    <r>
      <rPr>
        <sz val="12"/>
        <color rgb="FF000000"/>
        <rFont val="Arial"/>
      </rPr>
      <t>Scottish wheat is mainly winter sown soft wheats suitable for milling. The Scottish climate does not suit hard wheat varieties.</t>
    </r>
  </si>
  <si>
    <t>Table of contents</t>
  </si>
  <si>
    <t>This worksheet contains one table.</t>
  </si>
  <si>
    <t>Table number</t>
  </si>
  <si>
    <t>Table name</t>
  </si>
  <si>
    <t>Notes</t>
  </si>
  <si>
    <t>Notes used in this workbook.</t>
  </si>
  <si>
    <t>Table 1</t>
  </si>
  <si>
    <t>Agricultural area by crop and land use, 2013 to 2025</t>
  </si>
  <si>
    <t>Table 2</t>
  </si>
  <si>
    <t>Area of vegetables for human consumption, bulbs and soft fruit grown, 2013 to 2025</t>
  </si>
  <si>
    <t>Table 3</t>
  </si>
  <si>
    <t>Number of cattle, 2013 to 2025</t>
  </si>
  <si>
    <t>Table 4</t>
  </si>
  <si>
    <t>Number of sheep, 2013 to 2025</t>
  </si>
  <si>
    <t>Table 5</t>
  </si>
  <si>
    <t>Number of pigs, 2013 to 2025</t>
  </si>
  <si>
    <t>Table 6</t>
  </si>
  <si>
    <t>Number of poultry, 2013 to 2025</t>
  </si>
  <si>
    <t>Table 7</t>
  </si>
  <si>
    <t>Number of other livestock, 2013 to 2025</t>
  </si>
  <si>
    <t>Table 8</t>
  </si>
  <si>
    <t>Number of occupiers and employees, 2013 to 2025</t>
  </si>
  <si>
    <t>Table 9</t>
  </si>
  <si>
    <t>Number of occupiers by sex</t>
  </si>
  <si>
    <t>Table 10</t>
  </si>
  <si>
    <t>Number of occupiers by age and sex</t>
  </si>
  <si>
    <t>Table_11</t>
  </si>
  <si>
    <t>Number of holdings and land area by legal responsibility</t>
  </si>
  <si>
    <t>Table 12</t>
  </si>
  <si>
    <t>Area of owned or rented land</t>
  </si>
  <si>
    <t>Table 13</t>
  </si>
  <si>
    <t>Number, area and Standard Output of holdings by main farm type</t>
  </si>
  <si>
    <t>Table 14</t>
  </si>
  <si>
    <t>Agricultural area by Less Favoured Area (LFA)</t>
  </si>
  <si>
    <t>Table 15</t>
  </si>
  <si>
    <t>Number of holdings with crops and grass by region and sub-region</t>
  </si>
  <si>
    <t>Table 16</t>
  </si>
  <si>
    <t>Area of crops and grass by region and sub-region</t>
  </si>
  <si>
    <t>Table 17</t>
  </si>
  <si>
    <t>Number of holdings with livestock by region and sub-region</t>
  </si>
  <si>
    <t>Table 18</t>
  </si>
  <si>
    <t>Number of livestock by region and sub-region</t>
  </si>
  <si>
    <t>Table 19</t>
  </si>
  <si>
    <t>Number of holdings with occupiers and employees by region and sub-region</t>
  </si>
  <si>
    <t>Table 20</t>
  </si>
  <si>
    <t>Number of occupiers and employees by region and sub-region,</t>
  </si>
  <si>
    <t>Table 21</t>
  </si>
  <si>
    <t>Number of holdings by region, sub region and farm type</t>
  </si>
  <si>
    <t>Table 22</t>
  </si>
  <si>
    <t>Agricultural area of holdings by region, sub region and farm type</t>
  </si>
  <si>
    <t>Table 23</t>
  </si>
  <si>
    <t>Number of holdings by area size band and farm type</t>
  </si>
  <si>
    <t>Table 24</t>
  </si>
  <si>
    <t>Agricultural area of holdings by area size band and farm type</t>
  </si>
  <si>
    <t>Table_25</t>
  </si>
  <si>
    <t>Number of all occupiers by sex</t>
  </si>
  <si>
    <t>Module Table 1</t>
  </si>
  <si>
    <t>Irrigation methods used</t>
  </si>
  <si>
    <t>Module Table 2</t>
  </si>
  <si>
    <t>Irrigation, drought and flood protection measures used</t>
  </si>
  <si>
    <t>Note number</t>
  </si>
  <si>
    <t>Note text</t>
  </si>
  <si>
    <t>[Note 1]</t>
  </si>
  <si>
    <t>Comparisons are made as a percentage change between 2025 and the five-year average of 2020, 2021, 2022, 2023 and 2024.</t>
  </si>
  <si>
    <t>[Note 2]</t>
  </si>
  <si>
    <t>From 2009, data on land use has been obtained from the Single Application Form (SAF) for holdings claiming Basic Payment Scheme entitlements (previously).</t>
  </si>
  <si>
    <t>[Note 3]</t>
  </si>
  <si>
    <t>Total cereals figure includes rye from 2014. Rye was previously counted in 'other crops'.</t>
  </si>
  <si>
    <t>[Note 4]</t>
  </si>
  <si>
    <t>Mixed grain is no longer collected as part of the core dataset and was estimated for 2023, 2024 and 2025.</t>
  </si>
  <si>
    <t>[Note 5]</t>
  </si>
  <si>
    <t>In order to prevent disclosure of individual holding data, for 2012, 2013, 2014, 2016, 2017 and 2018 a small area of linseed was added to the figure for spring oilseed rape.</t>
  </si>
  <si>
    <t>[Note 6]</t>
  </si>
  <si>
    <t>Lupins included in other crops in 2019 and 2020 to prevent disclosure. The multi-year average for lupins is calculated using data from 2021, 2022, 2023 and 2024.</t>
  </si>
  <si>
    <t>[Note 7]</t>
  </si>
  <si>
    <t>Woodland and other land have been grouped as these areas are no longer disaggregated in Basic Payment Scheme claim data.</t>
  </si>
  <si>
    <t>[Note 8]</t>
  </si>
  <si>
    <t>Areas of strawberries and raspberries include areas grown under glass as well as areas grown in the open field.</t>
  </si>
  <si>
    <t>[Note 9]</t>
  </si>
  <si>
    <t>For 2023, 2024 and 2025, data for 'under 50kg liveweight' is a combined group of: Fattening pigs (over 29kg), Weaners (29kg or less and Piglets/suckling pigs. Data for 2012 to 2021 listed weights separately as '20kg and under 50kg liveweight' and 'Under 20kg liveweights'. These have been combined in this table as 'under 50kg liveweight'.</t>
  </si>
  <si>
    <t>[Note 10]</t>
  </si>
  <si>
    <t>Methods for gathering poultry data and estimating non-responses have changed for 2023 onwards (see JAC_23_Methodology and Quality Assurance Report). There is a break in the time series, therefore, from 2023 due to the methodology changes.</t>
  </si>
  <si>
    <t>[Note 11]</t>
  </si>
  <si>
    <t>Horse data is a combination of horses for agricultural or horticultural use and non-agricultural horse 2012 to 2025.</t>
  </si>
  <si>
    <t>[Note 12]</t>
  </si>
  <si>
    <t>Migrant workers are workers that are not UK nationals. Improved data available in 2017. Impact of changes to Census due to COVID-19 resulted in insufficient data returned to produce estimate for 2020.  For more information, please see accompanying methodology.</t>
  </si>
  <si>
    <t>[Note 13]</t>
  </si>
  <si>
    <t>Only includes occupiers for whom we have age and sex data for 2025.</t>
  </si>
  <si>
    <t>[Note 14]</t>
  </si>
  <si>
    <t>Total area in sole occupation does not match Total Agricultural Area in Table 1. This is because land use data is sourced from the Single Application Form while land tenure data is administered via census returns.</t>
  </si>
  <si>
    <t>[Note 15]</t>
  </si>
  <si>
    <t>Standard Outputs (SOs) represent the estimated farm-gate worth (£s) of crops and animals without taking account of the costs incurred in production.</t>
  </si>
  <si>
    <t>[Note 16]</t>
  </si>
  <si>
    <t>The total amount generated (in £) using the individual SOs on each farm type listed,  The individual SO coefficients for crops and livestock are listed here:  www.gov.scot/Topics/Statistics/Browse/Agriculture-Fisheries/Publications/SOCoeffs.</t>
  </si>
  <si>
    <t>[Note 17]</t>
  </si>
  <si>
    <t>A holding is classified as LFA if 50% or more of its land is assessed as being disadvantaged or severely disadvantaged for subsidy purposes.</t>
  </si>
  <si>
    <t>[Note 18]</t>
  </si>
  <si>
    <t>Includes lupins and maize.</t>
  </si>
  <si>
    <t>[Note 19]</t>
  </si>
  <si>
    <t>Utilised Agricultural Area (UAA) includes rough grazing land but excludes common grazing land, woodland and other land such as yards and derelict land etc.</t>
  </si>
  <si>
    <t>[Note 20]</t>
  </si>
  <si>
    <t>Inclusion of common grazing land brings total agricultural area in Scotland to a higher level than that published in the main June Agricultural Census publication.</t>
  </si>
  <si>
    <t>[Note 21]</t>
  </si>
  <si>
    <t>Sows in pig, gilts in pig and other sows for breeding.</t>
  </si>
  <si>
    <t>[Note 22]</t>
  </si>
  <si>
    <t>Hens laying eggs to hatch layer and table chicks and cocks.</t>
  </si>
  <si>
    <t>[Note 23]</t>
  </si>
  <si>
    <t>Except for totals, holdings with employees in more than one category are counted more than once.</t>
  </si>
  <si>
    <t>[Note 24]</t>
  </si>
  <si>
    <t>Excludes glasshouse crops and permanent crops and permanent grass.</t>
  </si>
  <si>
    <t>[Note 25]</t>
  </si>
  <si>
    <t>Only includes data for holdings where a response was provided to this question on the JAC.</t>
  </si>
  <si>
    <t>[Note 26]</t>
  </si>
  <si>
    <t>Some cells in the notes column of this table are blank. This means there is no note only relevant to this row.</t>
  </si>
  <si>
    <t>[Note 27]</t>
  </si>
  <si>
    <t>Some shorthand is used in this table, [b] = break in time series,  [f] = data to follow,  [FT] = Full-time, [PT] = Part-time, [x] = not available, [c] = data suppressed to prevent disclosure of individual holdings, [z] = not applicable</t>
  </si>
  <si>
    <t>[Note 28]</t>
  </si>
  <si>
    <t>Only includes occupiers who provided sex data</t>
  </si>
  <si>
    <t>[Note 29]</t>
  </si>
  <si>
    <t>Respondents could give multiple answers to this question</t>
  </si>
  <si>
    <t>[Note 30]</t>
  </si>
  <si>
    <t>Unclassified specifies a response of unclassified, whereas unknown is no farm type given provided</t>
  </si>
  <si>
    <t>[Note 31]</t>
  </si>
  <si>
    <t>All occupiers includes occupier one and occupier two on a holding, if working or not working.</t>
  </si>
  <si>
    <t>[Note 32]</t>
  </si>
  <si>
    <t>Includes Sheep Stock Club holdings (SSC). Before 2010 SSCs were not included in Scottish June Agricultural Census data.</t>
  </si>
  <si>
    <t>Table 1: Agricultural area by crop and land use, 2013 to 2025 [note 1, 2, 3, 4, 5, 6, 7, 26, 27]</t>
  </si>
  <si>
    <t>Some cells refer to notes which can be found on the Notes Worksheet.</t>
  </si>
  <si>
    <t>Source: JAC 2025</t>
  </si>
  <si>
    <t>Crop/Land use</t>
  </si>
  <si>
    <t>2013 Area (Hectares)</t>
  </si>
  <si>
    <t>2014 Area (Hectares)</t>
  </si>
  <si>
    <t>2015 Area (Hectares)</t>
  </si>
  <si>
    <t>2016 Area (Hectares)</t>
  </si>
  <si>
    <t>2017 Area (Hectares)</t>
  </si>
  <si>
    <t>2018 Area (Hectares)</t>
  </si>
  <si>
    <t>2019 Area (Hectares)</t>
  </si>
  <si>
    <t>2020 Area (Hectares)</t>
  </si>
  <si>
    <t>2021 Area (Hectares)</t>
  </si>
  <si>
    <t>2022 Area (Hectares)</t>
  </si>
  <si>
    <t>2023 Area (Hectares)</t>
  </si>
  <si>
    <t>2024 Area (Hectares)</t>
  </si>
  <si>
    <t>2025 Area (Hectares)</t>
  </si>
  <si>
    <t>5 year average 2020 to 2024 (Hectares)</t>
  </si>
  <si>
    <t>% Change 2025 to 5 year average</t>
  </si>
  <si>
    <t>% Change 2025 to 2024</t>
  </si>
  <si>
    <t xml:space="preserve">Notes </t>
  </si>
  <si>
    <t>Wheat</t>
  </si>
  <si>
    <t/>
  </si>
  <si>
    <t>Triticale</t>
  </si>
  <si>
    <t>Winter Barley</t>
  </si>
  <si>
    <t>Spring Barley</t>
  </si>
  <si>
    <t>Barley Total</t>
  </si>
  <si>
    <t>Winter Oats</t>
  </si>
  <si>
    <t>Spring Oats</t>
  </si>
  <si>
    <t>Oats Total</t>
  </si>
  <si>
    <t>Rye</t>
  </si>
  <si>
    <t>x</t>
  </si>
  <si>
    <t>Mixed Grain</t>
  </si>
  <si>
    <t>[Note 4] [Applies from L16 to N16]</t>
  </si>
  <si>
    <t>Total Cereals</t>
  </si>
  <si>
    <t>[Note 3] [Applies from C17 to N17]</t>
  </si>
  <si>
    <t>Winter Oilseed Rape</t>
  </si>
  <si>
    <t>Spring Oilseed Rape</t>
  </si>
  <si>
    <t>[Note 5] [Applies to B19, C19, and from E19 to G19]</t>
  </si>
  <si>
    <t>Linseed</t>
  </si>
  <si>
    <t>[Note 5] [Applies to B20, C20, and from E20 to G20]</t>
  </si>
  <si>
    <t>Total Oilseeds</t>
  </si>
  <si>
    <t>Protein Peas</t>
  </si>
  <si>
    <t>Field Beans</t>
  </si>
  <si>
    <t>Total Combine Harvested Crops</t>
  </si>
  <si>
    <t>Seed Potatoes</t>
  </si>
  <si>
    <t>Ware Potatoes</t>
  </si>
  <si>
    <t>Total Potatoes</t>
  </si>
  <si>
    <t>Turnips/Swedes</t>
  </si>
  <si>
    <t>Kale/Cabbage</t>
  </si>
  <si>
    <t>Maize</t>
  </si>
  <si>
    <t>Rape</t>
  </si>
  <si>
    <t>Fodder Beet</t>
  </si>
  <si>
    <t>Lupins</t>
  </si>
  <si>
    <t>[Note 6] [Applies to H33 and I33]</t>
  </si>
  <si>
    <t>Other Crops For Stockfeeding</t>
  </si>
  <si>
    <t>Total Crops For Stockfeeding</t>
  </si>
  <si>
    <t>Vegetables For Human Consumption</t>
  </si>
  <si>
    <t>Orchard Fruit</t>
  </si>
  <si>
    <t>Soft Fruit</t>
  </si>
  <si>
    <t>Other Crops</t>
  </si>
  <si>
    <t>Fallow Land - 5 Years Or Less</t>
  </si>
  <si>
    <t>Fallow Land - More Than 5 Years</t>
  </si>
  <si>
    <t>Total Fallow</t>
  </si>
  <si>
    <t>Total Crops, Fallow, And Set-Aside</t>
  </si>
  <si>
    <t>Rotational Grass - Under 5 Years Old</t>
  </si>
  <si>
    <t>Permanent Grassland - 5 Years And Over</t>
  </si>
  <si>
    <t>Total Grass</t>
  </si>
  <si>
    <t>Total Crops And Grass</t>
  </si>
  <si>
    <t>Rough Grazing</t>
  </si>
  <si>
    <t>Other Land (Including Woodland)</t>
  </si>
  <si>
    <t>[Note 7] [Applies to all cells in row]</t>
  </si>
  <si>
    <t>Total Sole Right Agricultural Area</t>
  </si>
  <si>
    <t>Common Grazings</t>
  </si>
  <si>
    <t>Table 2: Area of vegetables for human consumption, bulbs and soft fruit grown, 2013 to 2025 [note 1, 2, 8, 26, 27]</t>
  </si>
  <si>
    <t>Vegetables and fruits for human consumption</t>
  </si>
  <si>
    <t>Peas For Canning, Freezing Or Drying</t>
  </si>
  <si>
    <t>Beans For Canning, Freezing Or Drying</t>
  </si>
  <si>
    <t>Calabrese</t>
  </si>
  <si>
    <t>Cauliflower</t>
  </si>
  <si>
    <t>Carrots</t>
  </si>
  <si>
    <t>Other Vegetables</t>
  </si>
  <si>
    <t>Total Vegetables</t>
  </si>
  <si>
    <t>Bulbs, Flowers &amp; Hardy Nursery Stock</t>
  </si>
  <si>
    <t>Strawberries Grown In The Open</t>
  </si>
  <si>
    <t>[Note 8] [Applies to all cells in row]</t>
  </si>
  <si>
    <t>Raspberries Grown In The Open</t>
  </si>
  <si>
    <t>Blueberries Grown In The Open</t>
  </si>
  <si>
    <t>Blackcurrants And Other Fruit Grown In The Open</t>
  </si>
  <si>
    <t>Total Soft Fruit Grown In The Open</t>
  </si>
  <si>
    <t>Tomatoes Grown Under Cover</t>
  </si>
  <si>
    <t>Strawberries Grown Under Cover</t>
  </si>
  <si>
    <t>Raspberries Grown Under Cover</t>
  </si>
  <si>
    <t>Blueberries Grown Under Cover</t>
  </si>
  <si>
    <t>Other Fruit Grown Under Cover</t>
  </si>
  <si>
    <t>Vegetables Grown Under Cover</t>
  </si>
  <si>
    <t>Bedding And Pot Plants Grown Under Cover</t>
  </si>
  <si>
    <t>Hardy Nursery Stock Grown Under Cover</t>
  </si>
  <si>
    <t>Unused Area Grown Under Cover</t>
  </si>
  <si>
    <t>Total Plastic And Glass Clad Structures</t>
  </si>
  <si>
    <t>Strawberries Grown In Open/Under Cover</t>
  </si>
  <si>
    <t>Raspberries Grown In Open/Under Cover</t>
  </si>
  <si>
    <t>Blackcurrants Grown In Open/Under Cover</t>
  </si>
  <si>
    <t>Blueberries Grown In Open/Under Cover</t>
  </si>
  <si>
    <t>Tomatoes Grown In Open/Under Cover</t>
  </si>
  <si>
    <t>Other Fruit Grown In Open/Under Cover</t>
  </si>
  <si>
    <t>Total Soft Fruit</t>
  </si>
  <si>
    <t>Walk In Plastic Structures (I.e. Polytunnel)</t>
  </si>
  <si>
    <t>Glass Clad Structures (I.e. Glasshouse)</t>
  </si>
  <si>
    <t>Table 3: Number of cattle, 2013 to 2025 [note 1]</t>
  </si>
  <si>
    <t>Cattle by category</t>
  </si>
  <si>
    <t>2013 (Number)</t>
  </si>
  <si>
    <t>2014 (Number)</t>
  </si>
  <si>
    <t>2015 (Number)</t>
  </si>
  <si>
    <t>2016 (Number)</t>
  </si>
  <si>
    <t>2017 (Number)</t>
  </si>
  <si>
    <t>2018 (Number)</t>
  </si>
  <si>
    <t>2019 (Number)</t>
  </si>
  <si>
    <t>2020 (Number)</t>
  </si>
  <si>
    <t>2021 (Number)</t>
  </si>
  <si>
    <t>2022 (Number)</t>
  </si>
  <si>
    <t>2023 (Number)</t>
  </si>
  <si>
    <t>2024 (Number)</t>
  </si>
  <si>
    <t>2025 (Number)</t>
  </si>
  <si>
    <t>5 year average 2020 to 2024 (Number)</t>
  </si>
  <si>
    <t>Female Dairy Cattle Aged 1-2</t>
  </si>
  <si>
    <t>Female Dairy Cattle Aged 2 And Over - With Offspring</t>
  </si>
  <si>
    <t>Female Dairy Cattle Aged 2 And Over - Without Offspring</t>
  </si>
  <si>
    <t>Total Female Dairy Cattle</t>
  </si>
  <si>
    <t>Female Beef Cattle Aged 1-2</t>
  </si>
  <si>
    <t>Female Beef Cattle Aged 2 And Over - With Offspring</t>
  </si>
  <si>
    <t>Female Beef Cattle Aged 2 And Over - Without Offspring</t>
  </si>
  <si>
    <t>Total Female Beef Cattle</t>
  </si>
  <si>
    <t>Male Cattle Aged 1-2</t>
  </si>
  <si>
    <t>Male Cattle Aged 2 And Over</t>
  </si>
  <si>
    <t>Total Male Cattle</t>
  </si>
  <si>
    <t>Female Dairy Cattle Under 1</t>
  </si>
  <si>
    <t>Female Beef Cattle Under 1</t>
  </si>
  <si>
    <t>Male Cattle Under 1</t>
  </si>
  <si>
    <t>Total Calves</t>
  </si>
  <si>
    <t>Total Cattle</t>
  </si>
  <si>
    <t>Table 4: Number of sheep, 2013 to 2025 [note 1]</t>
  </si>
  <si>
    <t>Sheep by category</t>
  </si>
  <si>
    <t>Ewes Used For Breeding In Previous Season</t>
  </si>
  <si>
    <t>Rams To Be Used For Service</t>
  </si>
  <si>
    <t>Sheep For Breeding Aged 1 Year And Over</t>
  </si>
  <si>
    <t>Other</t>
  </si>
  <si>
    <t>Total Other Sheep 1 Year  And Over</t>
  </si>
  <si>
    <t>Lambs</t>
  </si>
  <si>
    <t>Total Sheep</t>
  </si>
  <si>
    <t>Table 5: Number of pigs, 2013 to 2025 [note 1, 9, 26]</t>
  </si>
  <si>
    <t>Pigs by category</t>
  </si>
  <si>
    <t>Sows In Pig</t>
  </si>
  <si>
    <t>Gilts In Pig</t>
  </si>
  <si>
    <t>Other Sows</t>
  </si>
  <si>
    <t>Total Breeding Herd</t>
  </si>
  <si>
    <t>Barren Sows For Fattening</t>
  </si>
  <si>
    <t>Gilts Used For Breeding (Over 50kg)</t>
  </si>
  <si>
    <t>Boars</t>
  </si>
  <si>
    <t>Total Sows, Gilts And Boars</t>
  </si>
  <si>
    <t>80kg Liveweight And Over</t>
  </si>
  <si>
    <t>50kg And Under 80kg Liveweight</t>
  </si>
  <si>
    <t>Under 50kg Liveweight</t>
  </si>
  <si>
    <t>[Note 9] [Applies to all cells in row]</t>
  </si>
  <si>
    <t>Total Other Pigs</t>
  </si>
  <si>
    <t>Total Pigs</t>
  </si>
  <si>
    <t>Table 6: Number of poultry, 2013 to 2025 [note 10]</t>
  </si>
  <si>
    <t>Poultry by category</t>
  </si>
  <si>
    <t>Pullets And Hens In The Laying Flock</t>
  </si>
  <si>
    <t>Pullets Being Reared For Laying</t>
  </si>
  <si>
    <t>Total Fowls For Producing Eggs</t>
  </si>
  <si>
    <t>Breeding Hens</t>
  </si>
  <si>
    <t>Cocks</t>
  </si>
  <si>
    <t>Total Fowls For Breeding</t>
  </si>
  <si>
    <t>Broilers And Other Table Birds</t>
  </si>
  <si>
    <t>Turkeys</t>
  </si>
  <si>
    <t>Other Poultry</t>
  </si>
  <si>
    <t>Total Poultry</t>
  </si>
  <si>
    <t>Table 7: Number of other livestock, 2013 to 2025 [note 1, 11, 26, 27]</t>
  </si>
  <si>
    <t>Livestock by category</t>
  </si>
  <si>
    <t>Deer</t>
  </si>
  <si>
    <t>Horses</t>
  </si>
  <si>
    <t>[Note 11] [Applies to all cellsin row]</t>
  </si>
  <si>
    <t>Donkeys</t>
  </si>
  <si>
    <t>Goats</t>
  </si>
  <si>
    <t>Camelids</t>
  </si>
  <si>
    <t>Beehives</t>
  </si>
  <si>
    <t>Table 8: Number of occupiers and employees, 2013 to 2025 [note 1, 12, 26, 27]</t>
  </si>
  <si>
    <t>Occupiers and employees by category</t>
  </si>
  <si>
    <t>Occupiers - Full Time</t>
  </si>
  <si>
    <t>Occupiers - Half Time Or More</t>
  </si>
  <si>
    <t>Occupiers - Less Than Half Time</t>
  </si>
  <si>
    <t>Total Working Occupiers</t>
  </si>
  <si>
    <t>Occupiers Not Working On The Holding</t>
  </si>
  <si>
    <t>Ft Males Hired</t>
  </si>
  <si>
    <t>Ft Males Family</t>
  </si>
  <si>
    <t>Ft Males Partners</t>
  </si>
  <si>
    <t>Ft Males Total</t>
  </si>
  <si>
    <t>Ft Females Hired</t>
  </si>
  <si>
    <t>Ft Females Family</t>
  </si>
  <si>
    <t>Ft Females Partners</t>
  </si>
  <si>
    <t>Ft Females Total</t>
  </si>
  <si>
    <t>Regular Full-Time Staff Total</t>
  </si>
  <si>
    <t>Pt Males Hired</t>
  </si>
  <si>
    <t>Pt Males Family</t>
  </si>
  <si>
    <t>Pt Males Partners</t>
  </si>
  <si>
    <t>Pt Males Total</t>
  </si>
  <si>
    <t>Pt Females Hired</t>
  </si>
  <si>
    <t>Pt Females Family</t>
  </si>
  <si>
    <t>Pt Females Partners</t>
  </si>
  <si>
    <t>Pt Females Total</t>
  </si>
  <si>
    <t>Regular Part-Time Staff Total</t>
  </si>
  <si>
    <t>Total Regular Full-Time And Part-Time Staff</t>
  </si>
  <si>
    <t>Males Casual And Seasonal Staff</t>
  </si>
  <si>
    <t>Females Casual And Seasonal Staff</t>
  </si>
  <si>
    <t>Total Casual And Seasonal Staff</t>
  </si>
  <si>
    <t>Total Agricultural Workforce</t>
  </si>
  <si>
    <t>European Migrant Labour (Person Working Days)</t>
  </si>
  <si>
    <t>Non-European Migrant Labour (Person Working Days)</t>
  </si>
  <si>
    <t>[Note 12] [Applies to all cells in row]</t>
  </si>
  <si>
    <t>Migrant Labour (Person Working Days)</t>
  </si>
  <si>
    <t>Table 9: Number of occupiers by sex, June 2025 [note 28]</t>
  </si>
  <si>
    <t>Occupier working time</t>
  </si>
  <si>
    <t>Female (Number)</t>
  </si>
  <si>
    <t>Male (Number)</t>
  </si>
  <si>
    <t>Prefer not to say (Number)</t>
  </si>
  <si>
    <t>Total (Number)</t>
  </si>
  <si>
    <t>Occupier(s) Full-time (39 hours per week)</t>
  </si>
  <si>
    <t>Occupier(s) Part time: Half time to less than full time</t>
  </si>
  <si>
    <t>Occupier(s) Part time: Less than half time</t>
  </si>
  <si>
    <t>Total working occupiers</t>
  </si>
  <si>
    <t>Table 10: Number of occupiers by age and sex, June 2025 [note 13, 27]</t>
  </si>
  <si>
    <t>Female Under 25 (Number)</t>
  </si>
  <si>
    <t>Male Under 25 (Number)</t>
  </si>
  <si>
    <t>Female 25 to 34 (Number)</t>
  </si>
  <si>
    <t>Male 25 to 34 (Number)</t>
  </si>
  <si>
    <t>Female 35 to 44 (Number)</t>
  </si>
  <si>
    <t>Male 35 to 44 (Number)</t>
  </si>
  <si>
    <t>Female 45 to 54 (Number)</t>
  </si>
  <si>
    <t>Male 45 to 54 (Number)</t>
  </si>
  <si>
    <t>Female 55 to 64 (Number)</t>
  </si>
  <si>
    <t>Male 55 to 64 (Number)</t>
  </si>
  <si>
    <t>Female Over 64 (Number)</t>
  </si>
  <si>
    <t>Male Over 64 (Number)</t>
  </si>
  <si>
    <t>Female total (Number)</t>
  </si>
  <si>
    <t>Male total (Number)</t>
  </si>
  <si>
    <t>Full-time (39 hours per week)</t>
  </si>
  <si>
    <t>c</t>
  </si>
  <si>
    <t>Part time: Half time to less than full time</t>
  </si>
  <si>
    <t>Part time: Less than half time</t>
  </si>
  <si>
    <t>Table 11: Number of holdings and land area by legal responsibility, June 2025</t>
  </si>
  <si>
    <t>Legal responsibility</t>
  </si>
  <si>
    <t>Holdings (Number)</t>
  </si>
  <si>
    <t>Area of holdings (Hectares)</t>
  </si>
  <si>
    <t>Unknown</t>
  </si>
  <si>
    <t>One person</t>
  </si>
  <si>
    <t>Two or more related</t>
  </si>
  <si>
    <t>Two or more not related</t>
  </si>
  <si>
    <t>An organisation</t>
  </si>
  <si>
    <t>Total</t>
  </si>
  <si>
    <t>Table 12: Area of owned or rented land, 2013 to 2025 [note 14, 27]</t>
  </si>
  <si>
    <t>Area owned or rented</t>
  </si>
  <si>
    <t>2013 (Hectares and %)</t>
  </si>
  <si>
    <t>2014 (Hectares and %)</t>
  </si>
  <si>
    <t>2015 (Hectares and %)</t>
  </si>
  <si>
    <t>2016 (Hectares and %)</t>
  </si>
  <si>
    <t>2017 (Hectares and %)</t>
  </si>
  <si>
    <t>2018 (Hectares and %)</t>
  </si>
  <si>
    <t>2019 (Hectares and %)</t>
  </si>
  <si>
    <t>2020 (Hectares and %)</t>
  </si>
  <si>
    <t>2021 (Hectares and %)</t>
  </si>
  <si>
    <t>2022 (Hectares and %)</t>
  </si>
  <si>
    <t>2023 (Hectares and %)</t>
  </si>
  <si>
    <t>2024 (Hectares and %)</t>
  </si>
  <si>
    <t>2025 (Hectares and %)</t>
  </si>
  <si>
    <t>5 year average 2020 to 2024 (Hectares and %)</t>
  </si>
  <si>
    <t>Area rented</t>
  </si>
  <si>
    <t>Area owned</t>
  </si>
  <si>
    <t>Total area in sole occupation</t>
  </si>
  <si>
    <t>Percentage of area rented</t>
  </si>
  <si>
    <t>Table 13: Number, area and Standard Output of holdings by main farm type, June 2025 [note 15, 16, 26, 27]</t>
  </si>
  <si>
    <t>Main farm type</t>
  </si>
  <si>
    <t>Area (Hectares)</t>
  </si>
  <si>
    <t>Total from Standard Outputs (£)</t>
  </si>
  <si>
    <t>Average standard output per holding (£)</t>
  </si>
  <si>
    <t>General cropping</t>
  </si>
  <si>
    <t>General cropping; forage</t>
  </si>
  <si>
    <t>[Note 15] [Applies to D8 and E8]</t>
  </si>
  <si>
    <t>LFA Cattle &amp; Sheep</t>
  </si>
  <si>
    <t>[Note 16] [Applies to D9 and E9]</t>
  </si>
  <si>
    <t>Mixed holdings</t>
  </si>
  <si>
    <t>Non-LFA Cattle &amp; Sheep</t>
  </si>
  <si>
    <t>Specialist cereals</t>
  </si>
  <si>
    <t>Specialist dairy</t>
  </si>
  <si>
    <t>Specialist horticulture &amp; permanent crops</t>
  </si>
  <si>
    <t>Specialist pigs</t>
  </si>
  <si>
    <t>Specialist poultry</t>
  </si>
  <si>
    <t>Unclassified</t>
  </si>
  <si>
    <t>All</t>
  </si>
  <si>
    <t>Table 14: Agricultural area by Less Favoured Area (LFA), June 2025 [note 17, 18, 19, 26]</t>
  </si>
  <si>
    <t>Agricultural land use by category</t>
  </si>
  <si>
    <t>LFA (Hectares)</t>
  </si>
  <si>
    <t>Non-LFA (Hectares)</t>
  </si>
  <si>
    <t>Total (Hectares)</t>
  </si>
  <si>
    <t>Total Barley</t>
  </si>
  <si>
    <t>Oats (including mixed grain)</t>
  </si>
  <si>
    <t>Oilseeds (including Linseed)</t>
  </si>
  <si>
    <t>Potatoes</t>
  </si>
  <si>
    <t>Beans For Combining</t>
  </si>
  <si>
    <t>Peas For Combining</t>
  </si>
  <si>
    <t>Turnips, Swedes And Beet For Stockfeeding</t>
  </si>
  <si>
    <t>[Note 18] [Applies to all cells in row]</t>
  </si>
  <si>
    <t>Orchard and Soft Fruit</t>
  </si>
  <si>
    <t>Bulbs, Flowers &amp; Nursery Stock</t>
  </si>
  <si>
    <t>All Other Crops</t>
  </si>
  <si>
    <t>Fallow land - 5 Years Or Less</t>
  </si>
  <si>
    <t>Fallow land - More Than 5 Years</t>
  </si>
  <si>
    <t>Permanent Grassland - 5 Years Old And Over</t>
  </si>
  <si>
    <t>Total Crops, Fallow And Grass</t>
  </si>
  <si>
    <t>Sole Right Utilised Agricultural Area (excl. Common Grazings)</t>
  </si>
  <si>
    <t>[Note 19] [Applies to all cells in row]</t>
  </si>
  <si>
    <t>Other Land (including Woodland)</t>
  </si>
  <si>
    <t>Number of Holdings</t>
  </si>
  <si>
    <t>Table 15: Number of holdings with crops and grass by region and sub-region, June 2025 [note 18, 19, 26, 27]</t>
  </si>
  <si>
    <t>Land use by category</t>
  </si>
  <si>
    <t>North West Shetland (Holdings)</t>
  </si>
  <si>
    <t>North West Orkney (Holdings)</t>
  </si>
  <si>
    <t>North West Na h-Eileanan Siar (Holdings)</t>
  </si>
  <si>
    <t>North West Highland (Holdings)</t>
  </si>
  <si>
    <t>North East Grampian (Holdings)</t>
  </si>
  <si>
    <t>South East Tayside (Holdings)</t>
  </si>
  <si>
    <t>South East Fife (Holdings)</t>
  </si>
  <si>
    <t>South East Lothian (Holdings)</t>
  </si>
  <si>
    <t>South East Scottish Borders (Holdings)</t>
  </si>
  <si>
    <t>South West East Central (Holdings)</t>
  </si>
  <si>
    <t>South West Argyll &amp; Bute (Holdings)</t>
  </si>
  <si>
    <t>South West Clyde Valley (Holdings)</t>
  </si>
  <si>
    <t>South West Ayrshire (Holdings)</t>
  </si>
  <si>
    <t>South West Dumfries &amp; Galloway (Holdings)</t>
  </si>
  <si>
    <t>Scotland total (Holdings)</t>
  </si>
  <si>
    <t>Oats and Mixed Grain</t>
  </si>
  <si>
    <t>Peas and Beans for Combining</t>
  </si>
  <si>
    <t>Stockfeeding Crops</t>
  </si>
  <si>
    <t>Sole Right Grazing</t>
  </si>
  <si>
    <t>Total Grass and Rough Grazing</t>
  </si>
  <si>
    <t>Holdings with Sole Right Utilised Agricultural Area (excl. Common Grazings)</t>
  </si>
  <si>
    <t>z</t>
  </si>
  <si>
    <t>Table 16: Area of crops and grass by region and sub-region, June 2025 [note 18, 19, 20, 26, 27]</t>
  </si>
  <si>
    <t>North West Shetland (Hectares)</t>
  </si>
  <si>
    <t>North West Orkney (Hectares)</t>
  </si>
  <si>
    <t>North West Na h-Eileanan Siar (Hectares)</t>
  </si>
  <si>
    <t>North West Highland (Hectares)</t>
  </si>
  <si>
    <t>North East Grampian (Hectares)</t>
  </si>
  <si>
    <t>South East Tayside (Hectares)</t>
  </si>
  <si>
    <t>South East Fife (Hectares)</t>
  </si>
  <si>
    <t>South East Lothian (Hectares)</t>
  </si>
  <si>
    <t>South East Scottish Borders (Hectares)</t>
  </si>
  <si>
    <t>South West East Central (Hectares)</t>
  </si>
  <si>
    <t>South West Argyll &amp; Bute (Hectares)</t>
  </si>
  <si>
    <t>South West Clyde Valley (Hectares)</t>
  </si>
  <si>
    <t>South West Ayrshire (Hectares)</t>
  </si>
  <si>
    <t>South West Dumfries &amp; Galloway (Hectares)</t>
  </si>
  <si>
    <t>Scotland total (Hectares)</t>
  </si>
  <si>
    <t>Total Agricultural Area</t>
  </si>
  <si>
    <t>[Note 20] [Applies to all cells in row]</t>
  </si>
  <si>
    <t>Table 17: Number of holdings with livestock by region and sub-region, June 2025 [note 21, 22, 26, 27]</t>
  </si>
  <si>
    <t>Female Dairy Cattle aged 1 to 2 years</t>
  </si>
  <si>
    <t>Female Dairy Cattle 2 years and over with offspring</t>
  </si>
  <si>
    <t>Female Dairy Cattle 2 years and over without offspring</t>
  </si>
  <si>
    <t>Female Beef Cattle aged 1 to 2 years</t>
  </si>
  <si>
    <t>Female Beef Cattle 2 years and over with offspring</t>
  </si>
  <si>
    <t>Female Beef Cattle 2 years and over without offspring</t>
  </si>
  <si>
    <t>Male Cattle aged 1 to 2 years</t>
  </si>
  <si>
    <t>Male Cattle aged 2 and over</t>
  </si>
  <si>
    <t>Female Dairy Cattle under 1 year (calves)</t>
  </si>
  <si>
    <t>Female Beef Cattle under 1 year (calves)</t>
  </si>
  <si>
    <t>Male Cattle under 1 year (calves)</t>
  </si>
  <si>
    <t>Ewes for breeding</t>
  </si>
  <si>
    <t>Other sheep 1 year and over for breeding</t>
  </si>
  <si>
    <t>Rams for service</t>
  </si>
  <si>
    <t>Other sheep not for breeding</t>
  </si>
  <si>
    <t>Female pigs breeding herd</t>
  </si>
  <si>
    <t>[Note 21] [Applies to all cells in row]</t>
  </si>
  <si>
    <t>All other non-breeding pigs</t>
  </si>
  <si>
    <t>Fowls for producing eggs</t>
  </si>
  <si>
    <t>Fowls for breeding</t>
  </si>
  <si>
    <t>[Note 22] [Applies to all cells in row]</t>
  </si>
  <si>
    <t>Broilers and other table fowls and other poultry</t>
  </si>
  <si>
    <t>Goats and kids</t>
  </si>
  <si>
    <t>Total Agricultural Holdings</t>
  </si>
  <si>
    <t>Table 18: Number of livestock by region and sub-region, June 2025 [note 21, 22, 26, 27]</t>
  </si>
  <si>
    <t>North West Shetland (Number)</t>
  </si>
  <si>
    <t>North West Orkney (Number)</t>
  </si>
  <si>
    <t>North West Na h-Eileanan Siar (Number)</t>
  </si>
  <si>
    <t>North West Highland (Number)</t>
  </si>
  <si>
    <t>North East Grampian (Number)</t>
  </si>
  <si>
    <t>South East Tayside (Number)</t>
  </si>
  <si>
    <t>South East Fife (Number)</t>
  </si>
  <si>
    <t>South East Lothian (Number)</t>
  </si>
  <si>
    <t>South East Scottish Borders (Number)</t>
  </si>
  <si>
    <t>South West East Central (Number)</t>
  </si>
  <si>
    <t>South West Argyll &amp; Bute (Number)</t>
  </si>
  <si>
    <t>South West Clyde Valley (Number)</t>
  </si>
  <si>
    <t>South West Ayrshire (Number)</t>
  </si>
  <si>
    <t>South West Dumfries &amp; Galloway (Number)</t>
  </si>
  <si>
    <t>Scotland total (Number)</t>
  </si>
  <si>
    <t>Table 19: Number of holdings with occupiers and employees by region and sub-region, June 2025 [note 23, 27]</t>
  </si>
  <si>
    <t>Total Employees (excluding occupiers)</t>
  </si>
  <si>
    <t>Total Workforce (including occupiers)</t>
  </si>
  <si>
    <t>Table 20: Number of occupiers and employees by region and sub-region, June 2025 [note 23, 27]</t>
  </si>
  <si>
    <t>Table 21: Number of holdings by region, sub region and farm type, June 2025 [note 17]</t>
  </si>
  <si>
    <t>Link to Notes table</t>
  </si>
  <si>
    <t>Main Farm Type</t>
  </si>
  <si>
    <t>LFA Cattle and sheep</t>
  </si>
  <si>
    <t>Non-LFA Cattle and sheep</t>
  </si>
  <si>
    <t>Specialist Horticulture &amp; permanent crops</t>
  </si>
  <si>
    <t>Table 22: Agricultural area of holdings by region, sub region and farm type, June 2025 [note 17]</t>
  </si>
  <si>
    <t> </t>
  </si>
  <si>
    <t>Table 23: Number of holdings by area size band and farm type, June 2025 [note 17, 32]</t>
  </si>
  <si>
    <t>0 to &lt;2 hectares (Holdings)</t>
  </si>
  <si>
    <t>2 to &lt;5 hectares (Holdings)</t>
  </si>
  <si>
    <t>5 to &lt;10 hectares (Holdings)</t>
  </si>
  <si>
    <t>10 to &lt;20 hectares (Holdings)</t>
  </si>
  <si>
    <t>20 to &lt;50 hectares (Holdings)</t>
  </si>
  <si>
    <t>50 to &lt;100 hectares (Holdings)</t>
  </si>
  <si>
    <t>100 to &lt;200 hectares (Holdings)</t>
  </si>
  <si>
    <t>200 hectares and over hectares (Holdings)</t>
  </si>
  <si>
    <t>Total (Holdings)</t>
  </si>
  <si>
    <t>Table 24: Agricultural area of holdings by area size band and farm type, June 2025 [note 17, 32]</t>
  </si>
  <si>
    <t>0 to &lt;2 hectares (Hectares)</t>
  </si>
  <si>
    <t>2 to &lt;5 hectares (Hectares)</t>
  </si>
  <si>
    <t>5 to &lt;10 hectares (Hectares)</t>
  </si>
  <si>
    <t>10 to &lt;20 hectares (Hectares)</t>
  </si>
  <si>
    <t>20 to &lt;50 hectares (Hectares)</t>
  </si>
  <si>
    <t>50 to &lt;100 hectares (Hectares)</t>
  </si>
  <si>
    <t>100 to &lt;200 hectares (Hectares)</t>
  </si>
  <si>
    <t>200 hectares and over hectares (Hectares)</t>
  </si>
  <si>
    <t>Table 25: Number of all occupiers by sex, June 2025 [note 28, 31]</t>
  </si>
  <si>
    <t>Occupiers sex</t>
  </si>
  <si>
    <t>Female</t>
  </si>
  <si>
    <t>Male</t>
  </si>
  <si>
    <t>Prefer not to say</t>
  </si>
  <si>
    <t>Module 2025 Table 1: Irrigation methods used, June 2025 [note 29]</t>
  </si>
  <si>
    <t>Irrigation practice</t>
  </si>
  <si>
    <t>Responses (Number)</t>
  </si>
  <si>
    <t>Drip</t>
  </si>
  <si>
    <t>Sprinkler</t>
  </si>
  <si>
    <t>Surface/Flood</t>
  </si>
  <si>
    <t>Furrow</t>
  </si>
  <si>
    <t>Micro-irrigation</t>
  </si>
  <si>
    <t>Number of holdings that responded</t>
  </si>
  <si>
    <t>Total responses</t>
  </si>
  <si>
    <t>Module 2025 Table 2: Irrigation, drought and flood protection measures used, June 2025 [note 29]</t>
  </si>
  <si>
    <t>Irrigation, drought or flood protection measure</t>
  </si>
  <si>
    <t>Adopted water-saving technologies or practices in irrigation</t>
  </si>
  <si>
    <t>Have or installed water storage facilities to support farming during drought conditions</t>
  </si>
  <si>
    <t>Employed measures to prevent or reduce flood damage on your farm</t>
  </si>
  <si>
    <t>Collaborate with other farmers or community members on water or flood management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</si>
</sst>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1" x14ac:knownFonts="1">
    <font>
      <sz val="12"/>
      <color rgb="FF000000"/>
      <name val="Arial"/>
    </font>
    <font>
      <u/>
      <sz val="12"/>
      <color theme="10"/>
      <name val="Arial"/>
    </font>
    <font>
      <b/>
      <sz val="16"/>
      <color rgb="FF000000"/>
      <name val="Arial"/>
    </font>
    <font>
      <b/>
      <sz val="14"/>
      <color rgb="FF000000"/>
      <name val="Arial"/>
    </font>
    <font>
      <b/>
      <sz val="12"/>
      <color rgb="FF000000"/>
      <name val="Arial"/>
    </font>
    <font>
      <b/>
      <sz val="12"/>
      <color rgb="FF000000"/>
      <name val="Arial"/>
      <family val="2"/>
    </font>
    <font>
      <sz val="12"/>
      <color rgb="FF000000"/>
      <name val="Arial"/>
      <family val="2"/>
    </font>
    <font>
      <b/>
      <sz val="16"/>
      <color rgb="FF000000"/>
      <name val="Arial"/>
      <family val="2"/>
    </font>
    <font>
      <u/>
      <sz val="12"/>
      <color theme="10"/>
      <name val="Arial"/>
      <family val="2"/>
    </font>
    <font>
      <b/>
      <sz val="16"/>
      <name val="Arial"/>
      <family val="2"/>
    </font>
    <font>
      <sz val="12"/>
      <color rgb="FFFF0000"/>
      <name val="Arial"/>
    </font>
  </fonts>
  <fills count="3">
    <fill>
      <patternFill patternType="none"/>
    </fill>
    <fill>
      <patternFill patternType="gray125"/>
    </fill>
    <fill>
      <patternFill patternType="solid">
        <fgColor theme="0"/>
        <bgColor indexed="64"/>
      </patternFill>
    </fill>
  </fills>
  <borders count="5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medium">
        <color indexed="64"/>
      </top>
      <bottom/>
      <diagonal/>
    </border>
    <border>
      <left/>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thin">
        <color rgb="FF000000"/>
      </left>
      <right/>
      <top style="medium">
        <color rgb="FF000000"/>
      </top>
      <bottom style="medium">
        <color indexed="64"/>
      </bottom>
      <diagonal/>
    </border>
    <border>
      <left style="thin">
        <color rgb="FF000000"/>
      </left>
      <right/>
      <top/>
      <bottom style="medium">
        <color rgb="FF000000"/>
      </bottom>
      <diagonal/>
    </border>
    <border>
      <left style="thin">
        <color rgb="FF000000"/>
      </left>
      <right/>
      <top style="medium">
        <color indexed="64"/>
      </top>
      <bottom style="medium">
        <color indexed="64"/>
      </bottom>
      <diagonal/>
    </border>
    <border>
      <left style="thin">
        <color rgb="FF000000"/>
      </left>
      <right/>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medium">
        <color indexed="64"/>
      </right>
      <top/>
      <bottom style="medium">
        <color rgb="FF000000"/>
      </bottom>
      <diagonal/>
    </border>
    <border>
      <left/>
      <right/>
      <top/>
      <bottom style="medium">
        <color rgb="FF000000"/>
      </bottom>
      <diagonal/>
    </border>
    <border>
      <left/>
      <right style="thin">
        <color indexed="64"/>
      </right>
      <top/>
      <bottom style="medium">
        <color rgb="FF000000"/>
      </bottom>
      <diagonal/>
    </border>
    <border>
      <left style="thin">
        <color indexed="64"/>
      </left>
      <right/>
      <top/>
      <bottom style="medium">
        <color rgb="FF000000"/>
      </bottom>
      <diagonal/>
    </border>
    <border>
      <left style="thin">
        <color indexed="64"/>
      </left>
      <right/>
      <top/>
      <bottom/>
      <diagonal/>
    </border>
    <border>
      <left style="medium">
        <color rgb="FF000000"/>
      </left>
      <right style="medium">
        <color indexed="64"/>
      </right>
      <top style="medium">
        <color rgb="FF000000"/>
      </top>
      <bottom style="medium">
        <color indexed="64"/>
      </bottom>
      <diagonal/>
    </border>
    <border>
      <left/>
      <right/>
      <top style="medium">
        <color rgb="FF000000"/>
      </top>
      <bottom style="medium">
        <color indexed="64"/>
      </bottom>
      <diagonal/>
    </border>
    <border>
      <left/>
      <right style="thin">
        <color indexed="64"/>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medium">
        <color indexed="64"/>
      </right>
      <top/>
      <bottom/>
      <diagonal/>
    </border>
    <border>
      <left/>
      <right style="medium">
        <color rgb="FF000000"/>
      </right>
      <top/>
      <bottom/>
      <diagonal/>
    </border>
    <border>
      <left style="medium">
        <color rgb="FF000000"/>
      </left>
      <right style="medium">
        <color indexed="64"/>
      </right>
      <top/>
      <bottom style="medium">
        <color rgb="FF000000"/>
      </bottom>
      <diagonal/>
    </border>
    <border>
      <left/>
      <right style="medium">
        <color rgb="FF000000"/>
      </right>
      <top/>
      <bottom style="medium">
        <color rgb="FF000000"/>
      </bottom>
      <diagonal/>
    </border>
    <border>
      <left style="thin">
        <color indexed="64"/>
      </left>
      <right style="medium">
        <color rgb="FF000000"/>
      </right>
      <top style="medium">
        <color rgb="FF000000"/>
      </top>
      <bottom style="medium">
        <color indexed="64"/>
      </bottom>
      <diagonal/>
    </border>
    <border>
      <left style="thin">
        <color indexed="64"/>
      </left>
      <right style="medium">
        <color rgb="FF000000"/>
      </right>
      <top/>
      <bottom/>
      <diagonal/>
    </border>
    <border>
      <left style="medium">
        <color indexed="64"/>
      </left>
      <right/>
      <top/>
      <bottom style="medium">
        <color rgb="FF000000"/>
      </bottom>
      <diagonal/>
    </border>
    <border>
      <left style="thin">
        <color indexed="64"/>
      </left>
      <right style="medium">
        <color rgb="FF000000"/>
      </right>
      <top/>
      <bottom style="medium">
        <color rgb="FF000000"/>
      </bottom>
      <diagonal/>
    </border>
    <border>
      <left style="medium">
        <color indexed="64"/>
      </left>
      <right/>
      <top style="medium">
        <color indexed="64"/>
      </top>
      <bottom/>
      <diagonal/>
    </border>
    <border>
      <left style="thin">
        <color rgb="FF000000"/>
      </left>
      <right/>
      <top style="medium">
        <color indexed="64"/>
      </top>
      <bottom/>
      <diagonal/>
    </border>
    <border>
      <left/>
      <right style="medium">
        <color rgb="FF000000"/>
      </right>
      <top style="medium">
        <color indexed="64"/>
      </top>
      <bottom/>
      <diagonal/>
    </border>
  </borders>
  <cellStyleXfs count="2">
    <xf numFmtId="0" fontId="0" fillId="0" borderId="0"/>
    <xf numFmtId="0" fontId="1" fillId="0" borderId="0" applyNumberFormat="0" applyFill="0" applyBorder="0" applyAlignment="0" applyProtection="0"/>
  </cellStyleXfs>
  <cellXfs count="225">
    <xf numFmtId="0" fontId="0" fillId="0" borderId="0" xfId="0"/>
    <xf numFmtId="0" fontId="2" fillId="0" borderId="0" xfId="0" applyFont="1"/>
    <xf numFmtId="0" fontId="4" fillId="0" borderId="0" xfId="0" applyFont="1" applyAlignment="1">
      <alignment horizontal="left" wrapText="1"/>
    </xf>
    <xf numFmtId="0" fontId="1" fillId="0" borderId="0" xfId="0" applyFont="1"/>
    <xf numFmtId="0" fontId="4" fillId="0" borderId="0" xfId="0" applyFont="1" applyAlignment="1">
      <alignment horizontal="right" wrapText="1"/>
    </xf>
    <xf numFmtId="0" fontId="4" fillId="0" borderId="1" xfId="0" applyFont="1" applyBorder="1" applyAlignment="1">
      <alignment horizontal="left" wrapText="1"/>
    </xf>
    <xf numFmtId="0" fontId="0" fillId="0" borderId="0" xfId="0" applyAlignment="1">
      <alignment horizontal="right"/>
    </xf>
    <xf numFmtId="0" fontId="4" fillId="0" borderId="3" xfId="0" applyFont="1" applyBorder="1" applyAlignment="1">
      <alignment horizontal="right" wrapText="1"/>
    </xf>
    <xf numFmtId="3" fontId="0" fillId="0" borderId="0" xfId="0" applyNumberFormat="1" applyAlignment="1">
      <alignment horizontal="right" wrapText="1"/>
    </xf>
    <xf numFmtId="3" fontId="4" fillId="0" borderId="0" xfId="0" applyNumberFormat="1" applyFont="1" applyAlignment="1">
      <alignment horizontal="right" wrapText="1"/>
    </xf>
    <xf numFmtId="0" fontId="4" fillId="0" borderId="7" xfId="0" applyFont="1" applyBorder="1" applyAlignment="1">
      <alignment horizontal="right" wrapText="1"/>
    </xf>
    <xf numFmtId="0" fontId="0" fillId="0" borderId="4" xfId="0" applyBorder="1" applyAlignment="1">
      <alignment wrapText="1"/>
    </xf>
    <xf numFmtId="0" fontId="4" fillId="0" borderId="4" xfId="0" applyFont="1" applyBorder="1" applyAlignment="1">
      <alignment horizontal="left" wrapText="1"/>
    </xf>
    <xf numFmtId="3" fontId="0" fillId="0" borderId="8" xfId="0" applyNumberFormat="1" applyBorder="1" applyAlignment="1">
      <alignment horizontal="right" wrapText="1"/>
    </xf>
    <xf numFmtId="3" fontId="0" fillId="0" borderId="9" xfId="0" applyNumberFormat="1" applyBorder="1" applyAlignment="1">
      <alignment horizontal="right" wrapText="1"/>
    </xf>
    <xf numFmtId="0" fontId="0" fillId="0" borderId="6" xfId="0" applyBorder="1" applyAlignment="1">
      <alignment wrapText="1"/>
    </xf>
    <xf numFmtId="0" fontId="4" fillId="0" borderId="6" xfId="0" applyFont="1" applyBorder="1" applyAlignment="1">
      <alignment horizontal="left" wrapText="1"/>
    </xf>
    <xf numFmtId="0" fontId="0" fillId="0" borderId="6" xfId="0" applyBorder="1" applyAlignment="1">
      <alignment horizontal="right" wrapText="1"/>
    </xf>
    <xf numFmtId="0" fontId="4" fillId="0" borderId="6" xfId="0" applyFont="1" applyBorder="1" applyAlignment="1">
      <alignment horizontal="right" wrapText="1"/>
    </xf>
    <xf numFmtId="0" fontId="4" fillId="0" borderId="11" xfId="0" applyFont="1" applyBorder="1" applyAlignment="1">
      <alignment horizontal="right" wrapText="1"/>
    </xf>
    <xf numFmtId="3" fontId="0" fillId="0" borderId="12" xfId="0" applyNumberFormat="1" applyBorder="1" applyAlignment="1">
      <alignment horizontal="right" wrapText="1"/>
    </xf>
    <xf numFmtId="3" fontId="4" fillId="0" borderId="12" xfId="0" applyNumberFormat="1" applyFont="1" applyBorder="1" applyAlignment="1">
      <alignment horizontal="right" wrapText="1"/>
    </xf>
    <xf numFmtId="3" fontId="0" fillId="0" borderId="13" xfId="0" applyNumberFormat="1" applyBorder="1" applyAlignment="1">
      <alignment horizontal="right" wrapText="1"/>
    </xf>
    <xf numFmtId="164" fontId="0" fillId="0" borderId="12" xfId="0" applyNumberFormat="1" applyBorder="1" applyAlignment="1">
      <alignment horizontal="right" wrapText="1"/>
    </xf>
    <xf numFmtId="0" fontId="0" fillId="0" borderId="0" xfId="0" applyAlignment="1">
      <alignment horizontal="right" wrapText="1"/>
    </xf>
    <xf numFmtId="0" fontId="4" fillId="0" borderId="5" xfId="0" applyFont="1" applyBorder="1" applyAlignment="1">
      <alignment horizontal="left" wrapText="1"/>
    </xf>
    <xf numFmtId="0" fontId="4" fillId="0" borderId="9" xfId="0" applyFont="1" applyBorder="1" applyAlignment="1">
      <alignment horizontal="right" wrapText="1"/>
    </xf>
    <xf numFmtId="0" fontId="4" fillId="0" borderId="10" xfId="0" applyFont="1" applyBorder="1" applyAlignment="1">
      <alignment horizontal="right" wrapText="1"/>
    </xf>
    <xf numFmtId="3" fontId="4" fillId="0" borderId="8" xfId="0" applyNumberFormat="1" applyFont="1" applyBorder="1" applyAlignment="1">
      <alignment horizontal="right" wrapText="1"/>
    </xf>
    <xf numFmtId="3" fontId="4" fillId="0" borderId="9" xfId="0" applyNumberFormat="1" applyFont="1" applyBorder="1" applyAlignment="1">
      <alignment horizontal="right" wrapText="1"/>
    </xf>
    <xf numFmtId="3" fontId="4" fillId="0" borderId="13" xfId="0" applyNumberFormat="1" applyFont="1" applyBorder="1" applyAlignment="1">
      <alignment horizontal="right" wrapText="1"/>
    </xf>
    <xf numFmtId="164" fontId="0" fillId="0" borderId="6" xfId="0" applyNumberFormat="1" applyBorder="1" applyAlignment="1">
      <alignment horizontal="right" wrapText="1"/>
    </xf>
    <xf numFmtId="164" fontId="4" fillId="0" borderId="13" xfId="0" applyNumberFormat="1" applyFont="1" applyBorder="1" applyAlignment="1">
      <alignment horizontal="right" wrapText="1"/>
    </xf>
    <xf numFmtId="164" fontId="4" fillId="0" borderId="10" xfId="0" applyNumberFormat="1" applyFont="1" applyBorder="1" applyAlignment="1">
      <alignment horizontal="right" wrapText="1"/>
    </xf>
    <xf numFmtId="0" fontId="4" fillId="0" borderId="17" xfId="0" applyFont="1" applyBorder="1" applyAlignment="1">
      <alignment horizontal="right" wrapText="1"/>
    </xf>
    <xf numFmtId="0" fontId="0" fillId="0" borderId="18" xfId="0" applyBorder="1" applyAlignment="1">
      <alignment horizontal="right" wrapText="1"/>
    </xf>
    <xf numFmtId="0" fontId="0" fillId="0" borderId="19" xfId="0" applyBorder="1" applyAlignment="1">
      <alignment horizontal="right" wrapText="1"/>
    </xf>
    <xf numFmtId="0" fontId="4" fillId="0" borderId="19" xfId="0" applyFont="1" applyBorder="1" applyAlignment="1">
      <alignment horizontal="right" wrapText="1"/>
    </xf>
    <xf numFmtId="0" fontId="4" fillId="0" borderId="21" xfId="0" applyFont="1" applyBorder="1" applyAlignment="1">
      <alignment horizontal="right" wrapText="1"/>
    </xf>
    <xf numFmtId="3" fontId="0" fillId="0" borderId="16" xfId="0" applyNumberFormat="1" applyBorder="1" applyAlignment="1">
      <alignment horizontal="right" wrapText="1"/>
    </xf>
    <xf numFmtId="3" fontId="0" fillId="0" borderId="19" xfId="0" applyNumberFormat="1" applyBorder="1" applyAlignment="1">
      <alignment horizontal="right" wrapText="1"/>
    </xf>
    <xf numFmtId="3" fontId="4" fillId="0" borderId="16" xfId="0" applyNumberFormat="1" applyFont="1" applyBorder="1" applyAlignment="1">
      <alignment horizontal="right" wrapText="1"/>
    </xf>
    <xf numFmtId="3" fontId="4" fillId="0" borderId="19" xfId="0" applyNumberFormat="1" applyFont="1" applyBorder="1" applyAlignment="1">
      <alignment horizontal="right" wrapText="1"/>
    </xf>
    <xf numFmtId="0" fontId="4" fillId="0" borderId="22" xfId="0" applyFont="1" applyBorder="1" applyAlignment="1">
      <alignment horizontal="right" wrapText="1"/>
    </xf>
    <xf numFmtId="164" fontId="4" fillId="0" borderId="9" xfId="0" applyNumberFormat="1" applyFont="1" applyBorder="1" applyAlignment="1">
      <alignment horizontal="right" wrapText="1"/>
    </xf>
    <xf numFmtId="164" fontId="0" fillId="0" borderId="23" xfId="0" applyNumberFormat="1" applyBorder="1" applyAlignment="1">
      <alignment horizontal="right" wrapText="1"/>
    </xf>
    <xf numFmtId="0" fontId="4" fillId="0" borderId="10" xfId="0" applyFont="1" applyBorder="1" applyAlignment="1">
      <alignment horizontal="left" wrapText="1"/>
    </xf>
    <xf numFmtId="3" fontId="5" fillId="0" borderId="8" xfId="0" applyNumberFormat="1" applyFont="1" applyBorder="1" applyAlignment="1">
      <alignment horizontal="right" wrapText="1"/>
    </xf>
    <xf numFmtId="3" fontId="5" fillId="0" borderId="9" xfId="0" applyNumberFormat="1" applyFont="1" applyBorder="1" applyAlignment="1">
      <alignment horizontal="right" wrapText="1"/>
    </xf>
    <xf numFmtId="3" fontId="5" fillId="0" borderId="13" xfId="0" applyNumberFormat="1" applyFont="1" applyBorder="1" applyAlignment="1">
      <alignment horizontal="right" wrapText="1"/>
    </xf>
    <xf numFmtId="3" fontId="5" fillId="0" borderId="12" xfId="0" applyNumberFormat="1" applyFont="1" applyBorder="1" applyAlignment="1">
      <alignment horizontal="right" wrapText="1"/>
    </xf>
    <xf numFmtId="3" fontId="5" fillId="0" borderId="21" xfId="0" applyNumberFormat="1" applyFont="1" applyBorder="1" applyAlignment="1">
      <alignment horizontal="right" wrapText="1"/>
    </xf>
    <xf numFmtId="0" fontId="4" fillId="0" borderId="31" xfId="0" applyFont="1" applyBorder="1" applyAlignment="1">
      <alignment horizontal="right" wrapText="1"/>
    </xf>
    <xf numFmtId="3" fontId="0" fillId="0" borderId="28" xfId="0" applyNumberFormat="1" applyBorder="1" applyAlignment="1">
      <alignment horizontal="right" wrapText="1"/>
    </xf>
    <xf numFmtId="3" fontId="4" fillId="0" borderId="28" xfId="0" applyNumberFormat="1" applyFont="1" applyBorder="1" applyAlignment="1">
      <alignment horizontal="right" wrapText="1"/>
    </xf>
    <xf numFmtId="0" fontId="4" fillId="0" borderId="33" xfId="0" applyFont="1" applyBorder="1" applyAlignment="1">
      <alignment horizontal="right" wrapText="1"/>
    </xf>
    <xf numFmtId="0" fontId="0" fillId="0" borderId="5" xfId="0" applyBorder="1" applyAlignment="1">
      <alignment horizontal="left" wrapText="1"/>
    </xf>
    <xf numFmtId="0" fontId="0" fillId="0" borderId="4" xfId="0" applyBorder="1" applyAlignment="1">
      <alignment horizontal="left" wrapText="1"/>
    </xf>
    <xf numFmtId="0" fontId="4" fillId="0" borderId="4" xfId="0" applyFont="1" applyBorder="1" applyAlignment="1">
      <alignment wrapText="1"/>
    </xf>
    <xf numFmtId="3" fontId="5" fillId="0" borderId="34" xfId="0" applyNumberFormat="1" applyFont="1" applyBorder="1" applyAlignment="1">
      <alignment horizontal="right" wrapText="1"/>
    </xf>
    <xf numFmtId="0" fontId="4" fillId="0" borderId="38" xfId="0" applyFont="1" applyBorder="1" applyAlignment="1">
      <alignment horizontal="left" wrapText="1"/>
    </xf>
    <xf numFmtId="0" fontId="4" fillId="0" borderId="39" xfId="0" applyFont="1" applyBorder="1" applyAlignment="1">
      <alignment horizontal="right" wrapText="1"/>
    </xf>
    <xf numFmtId="0" fontId="4" fillId="0" borderId="32" xfId="0" applyFont="1" applyBorder="1" applyAlignment="1">
      <alignment horizontal="right" wrapText="1"/>
    </xf>
    <xf numFmtId="0" fontId="4" fillId="0" borderId="40" xfId="0" applyFont="1" applyBorder="1" applyAlignment="1">
      <alignment horizontal="right" wrapText="1"/>
    </xf>
    <xf numFmtId="3" fontId="5" fillId="0" borderId="0" xfId="0" applyNumberFormat="1" applyFont="1" applyAlignment="1">
      <alignment horizontal="right" wrapText="1"/>
    </xf>
    <xf numFmtId="3" fontId="5" fillId="0" borderId="28" xfId="0" applyNumberFormat="1" applyFont="1" applyBorder="1" applyAlignment="1">
      <alignment horizontal="right" wrapText="1"/>
    </xf>
    <xf numFmtId="3" fontId="5" fillId="0" borderId="20" xfId="0" applyNumberFormat="1" applyFont="1" applyBorder="1" applyAlignment="1">
      <alignment horizontal="right" wrapText="1"/>
    </xf>
    <xf numFmtId="3" fontId="0" fillId="0" borderId="0" xfId="0" applyNumberFormat="1"/>
    <xf numFmtId="3" fontId="4" fillId="0" borderId="24" xfId="0" applyNumberFormat="1" applyFont="1" applyBorder="1" applyAlignment="1">
      <alignment horizontal="right" wrapText="1"/>
    </xf>
    <xf numFmtId="0" fontId="0" fillId="0" borderId="29" xfId="0" applyBorder="1" applyAlignment="1">
      <alignment horizontal="right" wrapText="1"/>
    </xf>
    <xf numFmtId="0" fontId="4" fillId="0" borderId="41" xfId="0" applyFont="1" applyBorder="1" applyAlignment="1">
      <alignment horizontal="right" wrapText="1"/>
    </xf>
    <xf numFmtId="0" fontId="0" fillId="0" borderId="42" xfId="0" applyBorder="1" applyAlignment="1">
      <alignment horizontal="right" wrapText="1"/>
    </xf>
    <xf numFmtId="0" fontId="4" fillId="0" borderId="42" xfId="0" applyFont="1" applyBorder="1" applyAlignment="1">
      <alignment horizontal="right" wrapText="1"/>
    </xf>
    <xf numFmtId="0" fontId="4" fillId="0" borderId="43" xfId="0" applyFont="1" applyBorder="1" applyAlignment="1">
      <alignment horizontal="left" wrapText="1"/>
    </xf>
    <xf numFmtId="0" fontId="4" fillId="0" borderId="44" xfId="0" applyFont="1" applyBorder="1" applyAlignment="1">
      <alignment horizontal="right" wrapText="1"/>
    </xf>
    <xf numFmtId="0" fontId="4" fillId="0" borderId="45" xfId="0" applyFont="1" applyBorder="1" applyAlignment="1">
      <alignment horizontal="right" wrapText="1"/>
    </xf>
    <xf numFmtId="0" fontId="0" fillId="0" borderId="47" xfId="0" applyBorder="1" applyAlignment="1">
      <alignment wrapText="1"/>
    </xf>
    <xf numFmtId="0" fontId="4" fillId="0" borderId="49" xfId="0" applyFont="1" applyBorder="1" applyAlignment="1">
      <alignment horizontal="left" wrapText="1"/>
    </xf>
    <xf numFmtId="3" fontId="4" fillId="0" borderId="39" xfId="0" applyNumberFormat="1" applyFont="1" applyBorder="1" applyAlignment="1">
      <alignment horizontal="right" wrapText="1"/>
    </xf>
    <xf numFmtId="3" fontId="4" fillId="0" borderId="40" xfId="0" applyNumberFormat="1" applyFont="1" applyBorder="1" applyAlignment="1">
      <alignment horizontal="right" wrapText="1"/>
    </xf>
    <xf numFmtId="0" fontId="4" fillId="0" borderId="51" xfId="0" applyFont="1" applyBorder="1" applyAlignment="1">
      <alignment horizontal="right" wrapText="1"/>
    </xf>
    <xf numFmtId="0" fontId="0" fillId="0" borderId="49" xfId="0" applyBorder="1" applyAlignment="1">
      <alignment horizontal="left" wrapText="1"/>
    </xf>
    <xf numFmtId="0" fontId="0" fillId="0" borderId="0" xfId="0" applyAlignment="1">
      <alignment horizontal="left" wrapText="1"/>
    </xf>
    <xf numFmtId="3" fontId="0" fillId="0" borderId="52" xfId="0" applyNumberFormat="1" applyBorder="1" applyAlignment="1">
      <alignment horizontal="right" wrapText="1"/>
    </xf>
    <xf numFmtId="3" fontId="4" fillId="0" borderId="53" xfId="0" applyNumberFormat="1" applyFont="1" applyBorder="1" applyAlignment="1">
      <alignment horizontal="right" wrapText="1"/>
    </xf>
    <xf numFmtId="3" fontId="4" fillId="0" borderId="54" xfId="0" applyNumberFormat="1" applyFont="1" applyBorder="1" applyAlignment="1">
      <alignment horizontal="right" wrapText="1"/>
    </xf>
    <xf numFmtId="0" fontId="0" fillId="0" borderId="0" xfId="0" applyAlignment="1">
      <alignment horizontal="left" vertical="top" wrapText="1"/>
    </xf>
    <xf numFmtId="0" fontId="6" fillId="0" borderId="0" xfId="0" applyFont="1" applyAlignment="1">
      <alignment horizontal="left" vertical="top" wrapText="1"/>
    </xf>
    <xf numFmtId="0" fontId="0" fillId="0" borderId="0" xfId="0" applyAlignment="1">
      <alignment vertical="top" wrapText="1"/>
    </xf>
    <xf numFmtId="3" fontId="0" fillId="0" borderId="24" xfId="0" applyNumberFormat="1" applyBorder="1" applyAlignment="1">
      <alignment horizontal="right" wrapText="1"/>
    </xf>
    <xf numFmtId="0" fontId="0" fillId="0" borderId="6" xfId="0" applyBorder="1" applyAlignment="1">
      <alignment horizontal="right"/>
    </xf>
    <xf numFmtId="3" fontId="0" fillId="0" borderId="55" xfId="0" applyNumberFormat="1" applyBorder="1" applyAlignment="1">
      <alignment horizontal="right" wrapText="1"/>
    </xf>
    <xf numFmtId="3" fontId="0" fillId="0" borderId="15" xfId="0" applyNumberFormat="1" applyBorder="1" applyAlignment="1">
      <alignment horizontal="right" wrapText="1"/>
    </xf>
    <xf numFmtId="3" fontId="0" fillId="0" borderId="14" xfId="0" applyNumberFormat="1" applyBorder="1" applyAlignment="1">
      <alignment horizontal="right" wrapText="1"/>
    </xf>
    <xf numFmtId="0" fontId="0" fillId="0" borderId="23" xfId="0" applyBorder="1" applyAlignment="1">
      <alignment horizontal="right" wrapText="1"/>
    </xf>
    <xf numFmtId="0" fontId="4" fillId="2" borderId="4" xfId="0" applyFont="1" applyFill="1" applyBorder="1" applyAlignment="1">
      <alignment horizontal="left" wrapText="1"/>
    </xf>
    <xf numFmtId="0" fontId="4" fillId="0" borderId="13" xfId="0" applyFont="1" applyBorder="1" applyAlignment="1">
      <alignment horizontal="right" wrapText="1"/>
    </xf>
    <xf numFmtId="0" fontId="4" fillId="2" borderId="6" xfId="0" applyFont="1" applyFill="1" applyBorder="1" applyAlignment="1">
      <alignment horizontal="left" wrapText="1"/>
    </xf>
    <xf numFmtId="0" fontId="1" fillId="0" borderId="0" xfId="1"/>
    <xf numFmtId="0" fontId="0" fillId="0" borderId="6" xfId="0" applyBorder="1" applyAlignment="1">
      <alignment horizontal="left" wrapText="1"/>
    </xf>
    <xf numFmtId="0" fontId="2" fillId="0" borderId="0" xfId="0" applyFont="1" applyAlignment="1">
      <alignment wrapText="1"/>
    </xf>
    <xf numFmtId="0" fontId="3" fillId="0" borderId="0" xfId="0" applyFont="1" applyAlignment="1">
      <alignment wrapText="1"/>
    </xf>
    <xf numFmtId="0" fontId="0" fillId="0" borderId="0" xfId="0" applyAlignment="1">
      <alignment wrapText="1"/>
    </xf>
    <xf numFmtId="0" fontId="1" fillId="0" borderId="0" xfId="1" applyFill="1"/>
    <xf numFmtId="0" fontId="1" fillId="0" borderId="0" xfId="1" applyFill="1" applyAlignment="1">
      <alignment wrapText="1"/>
    </xf>
    <xf numFmtId="0" fontId="6" fillId="0" borderId="0" xfId="0" applyFont="1" applyAlignment="1">
      <alignment wrapText="1"/>
    </xf>
    <xf numFmtId="0" fontId="7" fillId="0" borderId="0" xfId="0" applyFont="1"/>
    <xf numFmtId="0" fontId="0" fillId="0" borderId="0" xfId="0" applyAlignment="1">
      <alignment horizontal="left"/>
    </xf>
    <xf numFmtId="0" fontId="8" fillId="0" borderId="0" xfId="1" applyFont="1" applyFill="1" applyBorder="1"/>
    <xf numFmtId="0" fontId="1" fillId="0" borderId="0" xfId="1" applyFill="1" applyBorder="1"/>
    <xf numFmtId="0" fontId="6" fillId="0" borderId="0" xfId="0" applyFont="1" applyAlignment="1">
      <alignment horizontal="left" wrapText="1"/>
    </xf>
    <xf numFmtId="0" fontId="6" fillId="0" borderId="0" xfId="0" applyFont="1" applyAlignment="1">
      <alignment horizontal="left"/>
    </xf>
    <xf numFmtId="0" fontId="4" fillId="0" borderId="1" xfId="0" applyFont="1" applyBorder="1" applyAlignment="1">
      <alignment wrapText="1"/>
    </xf>
    <xf numFmtId="0" fontId="4" fillId="0" borderId="35" xfId="0" applyFont="1" applyBorder="1" applyAlignment="1">
      <alignment horizontal="right" wrapText="1"/>
    </xf>
    <xf numFmtId="164" fontId="0" fillId="0" borderId="28" xfId="0" applyNumberFormat="1" applyBorder="1" applyAlignment="1">
      <alignment horizontal="right" wrapText="1"/>
    </xf>
    <xf numFmtId="0" fontId="0" fillId="0" borderId="36" xfId="0" applyBorder="1" applyAlignment="1">
      <alignment horizontal="right" wrapText="1"/>
    </xf>
    <xf numFmtId="164" fontId="4" fillId="0" borderId="28" xfId="0" applyNumberFormat="1" applyFont="1" applyBorder="1" applyAlignment="1">
      <alignment horizontal="right" wrapText="1"/>
    </xf>
    <xf numFmtId="0" fontId="4" fillId="0" borderId="29" xfId="0" applyFont="1" applyBorder="1" applyAlignment="1">
      <alignment horizontal="right" wrapText="1"/>
    </xf>
    <xf numFmtId="0" fontId="6" fillId="0" borderId="29" xfId="0" applyFont="1" applyBorder="1" applyAlignment="1">
      <alignment horizontal="right" wrapText="1"/>
    </xf>
    <xf numFmtId="0" fontId="0" fillId="0" borderId="5" xfId="0" applyBorder="1" applyAlignment="1">
      <alignment wrapText="1"/>
    </xf>
    <xf numFmtId="3" fontId="0" fillId="0" borderId="32" xfId="0" applyNumberFormat="1" applyBorder="1" applyAlignment="1">
      <alignment horizontal="right" wrapText="1"/>
    </xf>
    <xf numFmtId="164" fontId="0" fillId="0" borderId="34" xfId="0" applyNumberFormat="1" applyBorder="1" applyAlignment="1">
      <alignment horizontal="right" wrapText="1"/>
    </xf>
    <xf numFmtId="164" fontId="0" fillId="0" borderId="32" xfId="0" applyNumberFormat="1" applyBorder="1" applyAlignment="1">
      <alignment horizontal="right" wrapText="1"/>
    </xf>
    <xf numFmtId="0" fontId="0" fillId="0" borderId="30" xfId="0" applyBorder="1" applyAlignment="1">
      <alignment horizontal="right" wrapText="1"/>
    </xf>
    <xf numFmtId="0" fontId="4" fillId="0" borderId="1" xfId="0" applyFont="1" applyBorder="1" applyAlignment="1">
      <alignment horizontal="right" wrapText="1"/>
    </xf>
    <xf numFmtId="165" fontId="0" fillId="0" borderId="12" xfId="0" applyNumberFormat="1" applyBorder="1" applyAlignment="1">
      <alignment horizontal="right" wrapText="1"/>
    </xf>
    <xf numFmtId="165" fontId="0" fillId="0" borderId="0" xfId="0" applyNumberFormat="1" applyAlignment="1">
      <alignment horizontal="right" wrapText="1"/>
    </xf>
    <xf numFmtId="0" fontId="0" fillId="0" borderId="4" xfId="0" applyBorder="1" applyAlignment="1">
      <alignment horizontal="right" wrapText="1"/>
    </xf>
    <xf numFmtId="165" fontId="4" fillId="0" borderId="12" xfId="0" applyNumberFormat="1" applyFont="1" applyBorder="1" applyAlignment="1">
      <alignment horizontal="right" wrapText="1"/>
    </xf>
    <xf numFmtId="165" fontId="4" fillId="0" borderId="0" xfId="0" applyNumberFormat="1" applyFont="1" applyAlignment="1">
      <alignment horizontal="right" wrapText="1"/>
    </xf>
    <xf numFmtId="0" fontId="4" fillId="0" borderId="4" xfId="0" applyFont="1" applyBorder="1" applyAlignment="1">
      <alignment horizontal="right" wrapText="1"/>
    </xf>
    <xf numFmtId="0" fontId="10" fillId="0" borderId="4" xfId="0" applyFont="1" applyBorder="1" applyAlignment="1">
      <alignment horizontal="right" wrapText="1"/>
    </xf>
    <xf numFmtId="165" fontId="0" fillId="0" borderId="13" xfId="0" applyNumberFormat="1" applyBorder="1" applyAlignment="1">
      <alignment horizontal="right" wrapText="1"/>
    </xf>
    <xf numFmtId="165" fontId="0" fillId="0" borderId="9" xfId="0" applyNumberFormat="1" applyBorder="1" applyAlignment="1">
      <alignment horizontal="right" wrapText="1"/>
    </xf>
    <xf numFmtId="0" fontId="0" fillId="0" borderId="5" xfId="0" applyBorder="1" applyAlignment="1">
      <alignment horizontal="right" wrapText="1"/>
    </xf>
    <xf numFmtId="9" fontId="0" fillId="0" borderId="0" xfId="0" applyNumberFormat="1"/>
    <xf numFmtId="1" fontId="0" fillId="0" borderId="0" xfId="0" applyNumberFormat="1"/>
    <xf numFmtId="166" fontId="0" fillId="0" borderId="0" xfId="0" applyNumberFormat="1"/>
    <xf numFmtId="164" fontId="4" fillId="0" borderId="12" xfId="0" applyNumberFormat="1" applyFont="1" applyBorder="1" applyAlignment="1">
      <alignment horizontal="right" wrapText="1"/>
    </xf>
    <xf numFmtId="164" fontId="4" fillId="0" borderId="6" xfId="0" applyNumberFormat="1" applyFont="1" applyBorder="1" applyAlignment="1">
      <alignment horizontal="right" wrapText="1"/>
    </xf>
    <xf numFmtId="0" fontId="0" fillId="0" borderId="15" xfId="0" applyBorder="1"/>
    <xf numFmtId="164" fontId="0" fillId="0" borderId="18" xfId="0" applyNumberFormat="1" applyBorder="1" applyAlignment="1">
      <alignment horizontal="right" wrapText="1"/>
    </xf>
    <xf numFmtId="164" fontId="0" fillId="0" borderId="19" xfId="0" applyNumberFormat="1" applyBorder="1" applyAlignment="1">
      <alignment horizontal="right" wrapText="1"/>
    </xf>
    <xf numFmtId="164" fontId="4" fillId="0" borderId="19" xfId="0" applyNumberFormat="1" applyFont="1" applyBorder="1" applyAlignment="1">
      <alignment horizontal="right" wrapText="1"/>
    </xf>
    <xf numFmtId="3" fontId="4" fillId="0" borderId="20" xfId="0" applyNumberFormat="1" applyFont="1" applyBorder="1" applyAlignment="1">
      <alignment horizontal="right" wrapText="1"/>
    </xf>
    <xf numFmtId="164" fontId="4" fillId="0" borderId="21" xfId="0" applyNumberFormat="1" applyFont="1" applyBorder="1" applyAlignment="1">
      <alignment horizontal="right" wrapText="1"/>
    </xf>
    <xf numFmtId="0" fontId="5" fillId="0" borderId="34" xfId="0" applyFont="1" applyBorder="1" applyAlignment="1">
      <alignment horizontal="right" wrapText="1"/>
    </xf>
    <xf numFmtId="164" fontId="0" fillId="0" borderId="28" xfId="0" applyNumberFormat="1" applyBorder="1"/>
    <xf numFmtId="165" fontId="0" fillId="0" borderId="0" xfId="0" applyNumberFormat="1"/>
    <xf numFmtId="164" fontId="5" fillId="0" borderId="28" xfId="0" applyNumberFormat="1" applyFont="1" applyBorder="1"/>
    <xf numFmtId="0" fontId="4" fillId="0" borderId="2" xfId="0" applyFont="1" applyBorder="1" applyAlignment="1">
      <alignment horizontal="right" wrapText="1"/>
    </xf>
    <xf numFmtId="0" fontId="0" fillId="0" borderId="10" xfId="0" applyBorder="1" applyAlignment="1">
      <alignment horizontal="right" wrapText="1"/>
    </xf>
    <xf numFmtId="164" fontId="0" fillId="0" borderId="14" xfId="0" applyNumberFormat="1" applyBorder="1" applyAlignment="1">
      <alignment horizontal="right" wrapText="1"/>
    </xf>
    <xf numFmtId="3" fontId="0" fillId="0" borderId="6" xfId="0" applyNumberFormat="1" applyBorder="1" applyAlignment="1">
      <alignment horizontal="right" wrapText="1"/>
    </xf>
    <xf numFmtId="3" fontId="4" fillId="0" borderId="10" xfId="0" applyNumberFormat="1" applyFont="1" applyBorder="1" applyAlignment="1">
      <alignment horizontal="right" wrapText="1"/>
    </xf>
    <xf numFmtId="0" fontId="2" fillId="0" borderId="37" xfId="0" applyFont="1" applyBorder="1"/>
    <xf numFmtId="0" fontId="8" fillId="0" borderId="0" xfId="1" applyFont="1" applyFill="1"/>
    <xf numFmtId="0" fontId="0" fillId="0" borderId="4" xfId="0" applyBorder="1"/>
    <xf numFmtId="0" fontId="5" fillId="0" borderId="5" xfId="0" applyFont="1" applyBorder="1"/>
    <xf numFmtId="0" fontId="7" fillId="0" borderId="0" xfId="0" applyFont="1" applyAlignment="1">
      <alignment horizontal="right"/>
    </xf>
    <xf numFmtId="0" fontId="7" fillId="0" borderId="0" xfId="0" applyFont="1" applyAlignment="1">
      <alignment horizontal="right" wrapText="1"/>
    </xf>
    <xf numFmtId="0" fontId="5" fillId="0" borderId="1" xfId="0" applyFont="1" applyBorder="1"/>
    <xf numFmtId="0" fontId="5" fillId="0" borderId="7" xfId="0" applyFont="1" applyBorder="1" applyAlignment="1">
      <alignment horizontal="right" wrapText="1"/>
    </xf>
    <xf numFmtId="0" fontId="5" fillId="0" borderId="11" xfId="0" applyFont="1" applyBorder="1" applyAlignment="1">
      <alignment horizontal="right" wrapText="1"/>
    </xf>
    <xf numFmtId="0" fontId="5" fillId="0" borderId="3" xfId="0" applyFont="1" applyBorder="1" applyAlignment="1">
      <alignment horizontal="right" wrapText="1"/>
    </xf>
    <xf numFmtId="3" fontId="0" fillId="0" borderId="6" xfId="0" applyNumberFormat="1" applyBorder="1"/>
    <xf numFmtId="3" fontId="5" fillId="0" borderId="10" xfId="0" applyNumberFormat="1" applyFont="1" applyBorder="1"/>
    <xf numFmtId="0" fontId="9" fillId="0" borderId="0" xfId="0" applyFont="1"/>
    <xf numFmtId="0" fontId="5" fillId="0" borderId="0" xfId="0" applyFont="1"/>
    <xf numFmtId="3" fontId="5" fillId="0" borderId="10" xfId="0" applyNumberFormat="1" applyFont="1" applyBorder="1" applyAlignment="1">
      <alignment horizontal="right"/>
    </xf>
    <xf numFmtId="3" fontId="0" fillId="0" borderId="6" xfId="0" applyNumberFormat="1" applyBorder="1" applyAlignment="1">
      <alignment horizontal="right"/>
    </xf>
    <xf numFmtId="0" fontId="7" fillId="0" borderId="0" xfId="0" applyFont="1" applyAlignment="1">
      <alignment horizontal="left"/>
    </xf>
    <xf numFmtId="0" fontId="5" fillId="0" borderId="3" xfId="0" applyFont="1" applyBorder="1" applyAlignment="1">
      <alignment horizontal="right"/>
    </xf>
    <xf numFmtId="0" fontId="0" fillId="0" borderId="6" xfId="0" applyBorder="1"/>
    <xf numFmtId="0" fontId="5" fillId="0" borderId="2" xfId="0" applyFont="1" applyBorder="1" applyAlignment="1">
      <alignment wrapText="1"/>
    </xf>
    <xf numFmtId="0" fontId="5" fillId="0" borderId="25" xfId="0" applyFont="1" applyBorder="1" applyAlignment="1">
      <alignment horizontal="right" wrapText="1"/>
    </xf>
    <xf numFmtId="0" fontId="0" fillId="0" borderId="24" xfId="0" applyBorder="1"/>
    <xf numFmtId="3" fontId="0" fillId="0" borderId="26" xfId="0" applyNumberFormat="1" applyBorder="1"/>
    <xf numFmtId="0" fontId="4" fillId="0" borderId="24" xfId="0" applyFont="1" applyBorder="1"/>
    <xf numFmtId="3" fontId="4" fillId="0" borderId="26" xfId="0" applyNumberFormat="1" applyFont="1" applyBorder="1"/>
    <xf numFmtId="0" fontId="5" fillId="0" borderId="8" xfId="0" applyFont="1" applyBorder="1"/>
    <xf numFmtId="3" fontId="5" fillId="0" borderId="27" xfId="0" applyNumberFormat="1" applyFont="1" applyBorder="1"/>
    <xf numFmtId="0" fontId="1" fillId="0" borderId="0" xfId="1" applyFill="1" applyAlignment="1"/>
    <xf numFmtId="0" fontId="0" fillId="0" borderId="26" xfId="0" applyBorder="1"/>
    <xf numFmtId="0" fontId="5" fillId="0" borderId="5" xfId="0" applyFont="1" applyBorder="1" applyAlignment="1">
      <alignment wrapText="1"/>
    </xf>
    <xf numFmtId="3" fontId="6" fillId="0" borderId="0" xfId="0" applyNumberFormat="1" applyFont="1" applyAlignment="1">
      <alignment horizontal="right" wrapText="1"/>
    </xf>
    <xf numFmtId="3" fontId="6" fillId="0" borderId="28" xfId="0" applyNumberFormat="1" applyFont="1" applyBorder="1" applyAlignment="1">
      <alignment horizontal="right" wrapText="1"/>
    </xf>
    <xf numFmtId="3" fontId="6" fillId="0" borderId="12" xfId="0" applyNumberFormat="1" applyFont="1" applyBorder="1" applyAlignment="1">
      <alignment horizontal="right" wrapText="1"/>
    </xf>
    <xf numFmtId="0" fontId="6" fillId="0" borderId="0" xfId="0" applyFont="1"/>
    <xf numFmtId="0" fontId="6" fillId="0" borderId="4" xfId="0" applyFont="1" applyBorder="1" applyAlignment="1">
      <alignment horizontal="left" wrapText="1"/>
    </xf>
    <xf numFmtId="3" fontId="6" fillId="0" borderId="16" xfId="0" applyNumberFormat="1" applyFont="1" applyBorder="1" applyAlignment="1">
      <alignment horizontal="right" wrapText="1"/>
    </xf>
    <xf numFmtId="3" fontId="6" fillId="0" borderId="19" xfId="0" applyNumberFormat="1" applyFont="1" applyBorder="1" applyAlignment="1">
      <alignment horizontal="right" wrapText="1"/>
    </xf>
    <xf numFmtId="3" fontId="4" fillId="0" borderId="6" xfId="0" applyNumberFormat="1" applyFont="1" applyBorder="1" applyAlignment="1">
      <alignment horizontal="right" wrapText="1"/>
    </xf>
    <xf numFmtId="0" fontId="0" fillId="0" borderId="57" xfId="0" applyBorder="1" applyAlignment="1">
      <alignment horizontal="right"/>
    </xf>
    <xf numFmtId="0" fontId="0" fillId="0" borderId="52" xfId="0" applyBorder="1" applyAlignment="1">
      <alignment horizontal="right" wrapText="1"/>
    </xf>
    <xf numFmtId="0" fontId="4" fillId="0" borderId="52" xfId="0" applyFont="1" applyBorder="1" applyAlignment="1">
      <alignment horizontal="right" wrapText="1"/>
    </xf>
    <xf numFmtId="0" fontId="5" fillId="0" borderId="52" xfId="0" applyFont="1" applyBorder="1" applyAlignment="1">
      <alignment horizontal="right" wrapText="1"/>
    </xf>
    <xf numFmtId="0" fontId="6" fillId="0" borderId="52" xfId="0" applyFont="1" applyBorder="1" applyAlignment="1">
      <alignment horizontal="right" wrapText="1"/>
    </xf>
    <xf numFmtId="3" fontId="0" fillId="0" borderId="53" xfId="0" applyNumberFormat="1" applyBorder="1" applyAlignment="1">
      <alignment horizontal="right" wrapText="1"/>
    </xf>
    <xf numFmtId="3" fontId="0" fillId="0" borderId="39" xfId="0" applyNumberFormat="1" applyBorder="1" applyAlignment="1">
      <alignment horizontal="right" wrapText="1"/>
    </xf>
    <xf numFmtId="3" fontId="0" fillId="0" borderId="40" xfId="0" applyNumberFormat="1" applyBorder="1" applyAlignment="1">
      <alignment horizontal="right" wrapText="1"/>
    </xf>
    <xf numFmtId="0" fontId="0" fillId="0" borderId="54" xfId="0" applyBorder="1" applyAlignment="1">
      <alignment horizontal="right" wrapText="1"/>
    </xf>
    <xf numFmtId="3" fontId="0" fillId="0" borderId="0" xfId="0" applyNumberFormat="1" applyAlignment="1">
      <alignment horizontal="right"/>
    </xf>
    <xf numFmtId="0" fontId="5" fillId="0" borderId="0" xfId="0" applyFont="1" applyAlignment="1">
      <alignment horizontal="right"/>
    </xf>
    <xf numFmtId="3" fontId="0" fillId="0" borderId="12" xfId="0" applyNumberFormat="1" applyBorder="1" applyAlignment="1">
      <alignment horizontal="right"/>
    </xf>
    <xf numFmtId="3" fontId="5" fillId="0" borderId="9" xfId="0" applyNumberFormat="1" applyFont="1" applyBorder="1" applyAlignment="1">
      <alignment horizontal="right"/>
    </xf>
    <xf numFmtId="3" fontId="5" fillId="0" borderId="13" xfId="0" applyNumberFormat="1" applyFont="1" applyBorder="1" applyAlignment="1">
      <alignment horizontal="right"/>
    </xf>
    <xf numFmtId="0" fontId="0" fillId="0" borderId="12" xfId="0" applyBorder="1" applyAlignment="1">
      <alignment horizontal="right"/>
    </xf>
    <xf numFmtId="0" fontId="9" fillId="0" borderId="0" xfId="0" applyFont="1" applyAlignment="1">
      <alignment horizontal="right"/>
    </xf>
    <xf numFmtId="0" fontId="0" fillId="0" borderId="12" xfId="0" applyBorder="1" applyAlignment="1">
      <alignment horizontal="right" wrapText="1"/>
    </xf>
    <xf numFmtId="0" fontId="0" fillId="0" borderId="14" xfId="0" applyBorder="1" applyAlignment="1">
      <alignment horizontal="right" wrapText="1"/>
    </xf>
    <xf numFmtId="3" fontId="5" fillId="0" borderId="10" xfId="0" applyNumberFormat="1" applyFont="1" applyBorder="1" applyAlignment="1">
      <alignment horizontal="right" wrapText="1"/>
    </xf>
    <xf numFmtId="3" fontId="5" fillId="0" borderId="24" xfId="0" applyNumberFormat="1" applyFont="1" applyBorder="1" applyAlignment="1">
      <alignment horizontal="right" wrapText="1"/>
    </xf>
    <xf numFmtId="0" fontId="4" fillId="0" borderId="46" xfId="0" applyFont="1" applyBorder="1" applyAlignment="1">
      <alignment horizontal="right" wrapText="1"/>
    </xf>
    <xf numFmtId="0" fontId="0" fillId="0" borderId="48" xfId="0" applyBorder="1" applyAlignment="1">
      <alignment horizontal="right" wrapText="1"/>
    </xf>
    <xf numFmtId="0" fontId="4" fillId="0" borderId="47" xfId="0" applyFont="1" applyBorder="1" applyAlignment="1">
      <alignment horizontal="left" wrapText="1"/>
    </xf>
    <xf numFmtId="0" fontId="4" fillId="0" borderId="48" xfId="0" applyFont="1" applyBorder="1" applyAlignment="1">
      <alignment horizontal="right" wrapText="1"/>
    </xf>
    <xf numFmtId="0" fontId="5" fillId="0" borderId="47" xfId="0" applyFont="1" applyBorder="1" applyAlignment="1">
      <alignment wrapText="1"/>
    </xf>
    <xf numFmtId="0" fontId="5" fillId="0" borderId="48" xfId="0" applyFont="1" applyBorder="1" applyAlignment="1">
      <alignment horizontal="right" wrapText="1"/>
    </xf>
    <xf numFmtId="0" fontId="6" fillId="0" borderId="47" xfId="0" applyFont="1" applyBorder="1" applyAlignment="1">
      <alignment horizontal="left" wrapText="1"/>
    </xf>
    <xf numFmtId="0" fontId="6" fillId="0" borderId="48" xfId="0" applyFont="1" applyBorder="1" applyAlignment="1">
      <alignment horizontal="right" wrapText="1"/>
    </xf>
    <xf numFmtId="3" fontId="4" fillId="0" borderId="32" xfId="0" applyNumberFormat="1" applyFont="1" applyBorder="1" applyAlignment="1">
      <alignment horizontal="right" wrapText="1"/>
    </xf>
    <xf numFmtId="0" fontId="0" fillId="0" borderId="50" xfId="0" applyBorder="1" applyAlignment="1">
      <alignment horizontal="right" wrapText="1"/>
    </xf>
    <xf numFmtId="3" fontId="0" fillId="0" borderId="56" xfId="0" applyNumberFormat="1" applyBorder="1" applyAlignment="1">
      <alignment horizontal="right" wrapText="1"/>
    </xf>
    <xf numFmtId="3" fontId="6" fillId="0" borderId="24" xfId="0" applyNumberFormat="1" applyFont="1" applyBorder="1" applyAlignment="1">
      <alignment horizontal="right" wrapText="1"/>
    </xf>
  </cellXfs>
  <cellStyles count="2">
    <cellStyle name="Hyperlink" xfId="1" builtinId="8"/>
    <cellStyle name="Normal" xfId="0" builtinId="0"/>
  </cellStyles>
  <dxfs count="396">
    <dxf>
      <numFmt numFmtId="3" formatCode="#,##0"/>
    </dxf>
    <dxf>
      <numFmt numFmtId="3" formatCode="#,##0"/>
      <border diagonalUp="0" diagonalDown="0">
        <left/>
        <right style="medium">
          <color indexed="64"/>
        </right>
        <vertical/>
      </border>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border diagonalUp="0" diagonalDown="0">
        <left/>
        <right style="thin">
          <color indexed="64"/>
        </right>
        <vertical/>
      </border>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border diagonalUp="0" diagonalDown="0" outline="0">
        <left style="medium">
          <color indexed="64"/>
        </left>
        <right style="medium">
          <color indexed="64"/>
        </right>
        <top/>
        <bottom/>
      </border>
    </dxf>
    <dxf>
      <border diagonalUp="0" diagonalDown="0">
        <left style="medium">
          <color indexed="64"/>
        </left>
        <right style="medium">
          <color indexed="64"/>
        </right>
        <vertical/>
      </border>
    </dxf>
    <dxf>
      <border>
        <left style="medium">
          <color rgb="FF000000"/>
        </left>
        <right style="medium">
          <color rgb="FF000000"/>
        </right>
        <top style="medium">
          <color rgb="FF000000"/>
        </top>
        <bottom style="medium">
          <color rgb="FF000000"/>
        </bottom>
      </border>
    </dxf>
    <dxf>
      <border>
        <bottom style="medium">
          <color indexed="64"/>
        </bottom>
      </border>
    </dxf>
    <dxf>
      <border diagonalUp="0" diagonalDown="0">
        <left/>
        <right/>
        <top/>
        <bottom/>
        <vertical/>
        <horizontal/>
      </border>
    </dxf>
    <dxf>
      <numFmt numFmtId="3" formatCode="#,##0"/>
      <border diagonalUp="0" diagonalDown="0">
        <left style="thin">
          <color indexed="64"/>
        </left>
        <right style="medium">
          <color indexed="64"/>
        </right>
        <vertical/>
      </border>
    </dxf>
    <dxf>
      <numFmt numFmtId="3" formatCode="#,##0"/>
      <border diagonalUp="0" diagonalDown="0">
        <left/>
        <right style="thin">
          <color indexed="64"/>
        </right>
        <top/>
        <bottom/>
        <vertical/>
        <horizontal/>
      </border>
    </dxf>
    <dxf>
      <numFmt numFmtId="3" formatCode="#,##0"/>
    </dxf>
    <dxf>
      <numFmt numFmtId="3" formatCode="#,##0"/>
    </dxf>
    <dxf>
      <numFmt numFmtId="3" formatCode="#,##0"/>
    </dxf>
    <dxf>
      <numFmt numFmtId="3" formatCode="#,##0"/>
      <border>
        <left style="thin">
          <color rgb="FF000000"/>
        </left>
      </border>
    </dxf>
    <dxf>
      <numFmt numFmtId="3" formatCode="#,##0"/>
      <border diagonalUp="0" diagonalDown="0">
        <left/>
        <right style="thin">
          <color indexed="64"/>
        </right>
        <vertical/>
      </border>
    </dxf>
    <dxf>
      <numFmt numFmtId="3" formatCode="#,##0"/>
    </dxf>
    <dxf>
      <numFmt numFmtId="3" formatCode="#,##0"/>
    </dxf>
    <dxf>
      <numFmt numFmtId="3" formatCode="#,##0"/>
    </dxf>
    <dxf>
      <numFmt numFmtId="3" formatCode="#,##0"/>
      <border diagonalUp="0" diagonalDown="0">
        <left style="thin">
          <color indexed="64"/>
        </left>
        <right style="thin">
          <color indexed="64"/>
        </right>
        <vertical/>
      </border>
    </dxf>
    <dxf>
      <numFmt numFmtId="3" formatCode="#,##0"/>
      <border diagonalUp="0" diagonalDown="0">
        <left/>
        <right style="thin">
          <color indexed="64"/>
        </right>
        <vertical/>
      </border>
    </dxf>
    <dxf>
      <numFmt numFmtId="3" formatCode="#,##0"/>
    </dxf>
    <dxf>
      <numFmt numFmtId="3" formatCode="#,##0"/>
    </dxf>
    <dxf>
      <numFmt numFmtId="3" formatCode="#,##0"/>
    </dxf>
    <dxf>
      <border diagonalUp="0" diagonalDown="0">
        <left style="medium">
          <color indexed="64"/>
        </left>
        <right style="medium">
          <color indexed="64"/>
        </right>
        <vertical/>
      </border>
    </dxf>
    <dxf>
      <border>
        <bottom style="medium">
          <color indexed="64"/>
        </bottom>
      </border>
    </dxf>
    <dxf>
      <alignment horizontal="right" vertical="bottom" textRotation="0" indent="0" justifyLastLine="0" shrinkToFit="0" readingOrder="0"/>
      <border diagonalUp="0" diagonalDown="0" outline="0">
        <left/>
        <right style="medium">
          <color indexed="64"/>
        </right>
      </border>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border>
        <left style="thin">
          <color rgb="FF000000"/>
        </left>
      </border>
    </dxf>
    <dxf>
      <numFmt numFmtId="3" formatCode="#,##0"/>
    </dxf>
    <dxf>
      <numFmt numFmtId="3" formatCode="#,##0"/>
    </dxf>
    <dxf>
      <numFmt numFmtId="3" formatCode="#,##0"/>
    </dxf>
    <dxf>
      <numFmt numFmtId="3" formatCode="#,##0"/>
      <border>
        <left style="thin">
          <color rgb="FF000000"/>
        </left>
      </border>
    </dxf>
    <dxf>
      <numFmt numFmtId="3" formatCode="#,##0"/>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numFmt numFmtId="3" formatCode="#,##0"/>
      <fill>
        <patternFill patternType="none">
          <fgColor indexed="64"/>
          <bgColor auto="1"/>
        </patternFill>
      </fill>
    </dxf>
    <dxf>
      <border diagonalUp="0" diagonalDown="0" outline="0">
        <left style="medium">
          <color indexed="64"/>
        </left>
        <right/>
      </border>
    </dxf>
    <dxf>
      <border>
        <left style="medium">
          <color rgb="FF000000"/>
        </left>
        <right style="medium">
          <color rgb="FF000000"/>
        </right>
        <top style="medium">
          <color rgb="FF000000"/>
        </top>
        <bottom style="medium">
          <color rgb="FF000000"/>
        </bottom>
      </border>
    </dxf>
    <dxf>
      <border>
        <bottom style="medium">
          <color rgb="FF000000"/>
        </bottom>
      </border>
    </dxf>
    <dxf>
      <border diagonalUp="0" diagonalDown="0">
        <left/>
        <right/>
        <top/>
        <bottom/>
        <vertical/>
        <horizontal/>
      </border>
    </dxf>
    <dxf>
      <alignment horizontal="right" vertical="bottom" textRotation="0" indent="0" justifyLastLine="0" shrinkToFit="0" readingOrder="0"/>
      <border diagonalUp="0" diagonalDown="0" outline="0">
        <left style="thin">
          <color indexed="64"/>
        </left>
        <right style="medium">
          <color indexed="64"/>
        </right>
      </border>
    </dxf>
    <dxf>
      <numFmt numFmtId="3" formatCode="#,##0"/>
      <border diagonalUp="0" diagonalDown="0">
        <left/>
        <right style="thin">
          <color indexed="64"/>
        </right>
        <top/>
        <bottom/>
        <vertical/>
        <horizontal/>
      </border>
    </dxf>
    <dxf>
      <numFmt numFmtId="3" formatCode="#,##0"/>
      <border diagonalUp="0" diagonalDown="0">
        <left/>
        <right style="thin">
          <color indexed="64"/>
        </right>
        <top/>
        <bottom/>
        <vertical/>
        <horizontal/>
      </border>
    </dxf>
    <dxf>
      <numFmt numFmtId="3" formatCode="#,##0"/>
    </dxf>
    <dxf>
      <numFmt numFmtId="3" formatCode="#,##0"/>
    </dxf>
    <dxf>
      <numFmt numFmtId="3" formatCode="#,##0"/>
    </dxf>
    <dxf>
      <numFmt numFmtId="3" formatCode="#,##0"/>
      <border>
        <left style="thin">
          <color rgb="FF000000"/>
        </left>
      </border>
    </dxf>
    <dxf>
      <numFmt numFmtId="3" formatCode="#,##0"/>
    </dxf>
    <dxf>
      <numFmt numFmtId="3" formatCode="#,##0"/>
    </dxf>
    <dxf>
      <numFmt numFmtId="3" formatCode="#,##0"/>
    </dxf>
    <dxf>
      <numFmt numFmtId="3" formatCode="#,##0"/>
      <border>
        <left style="thin">
          <color rgb="FF000000"/>
        </left>
      </border>
    </dxf>
    <dxf>
      <numFmt numFmtId="3" formatCode="#,##0"/>
      <border>
        <left style="thin">
          <color rgb="FF000000"/>
        </left>
      </border>
    </dxf>
    <dxf>
      <numFmt numFmtId="3" formatCode="#,##0"/>
    </dxf>
    <dxf>
      <numFmt numFmtId="3" formatCode="#,##0"/>
    </dxf>
    <dxf>
      <numFmt numFmtId="3" formatCode="#,##0"/>
    </dxf>
    <dxf>
      <numFmt numFmtId="3" formatCode="#,##0"/>
    </dxf>
    <dxf>
      <border diagonalUp="0" diagonalDown="0">
        <left style="medium">
          <color indexed="64"/>
        </left>
        <right style="medium">
          <color indexed="64"/>
        </right>
        <vertical/>
      </border>
    </dxf>
    <dxf>
      <border>
        <left style="medium">
          <color rgb="FF000000"/>
        </left>
        <right style="medium">
          <color rgb="FF000000"/>
        </right>
        <top style="medium">
          <color rgb="FF000000"/>
        </top>
        <bottom style="medium">
          <color rgb="FF000000"/>
        </bottom>
      </border>
    </dxf>
    <dxf>
      <border>
        <bottom style="medium">
          <color rgb="FF000000"/>
        </bottom>
      </border>
    </dxf>
    <dxf>
      <alignment horizontal="right" vertical="bottom" textRotation="0" wrapText="0" indent="0" justifyLastLine="0" shrinkToFit="0" readingOrder="0"/>
    </dxf>
    <dxf>
      <alignment horizontal="right" vertical="bottom" textRotation="0" indent="0" justifyLastLine="0" shrinkToFit="0" readingOrder="0"/>
    </dxf>
    <dxf>
      <numFmt numFmtId="3" formatCode="#,##0"/>
    </dxf>
    <dxf>
      <numFmt numFmtId="3" formatCode="#,##0"/>
    </dxf>
    <dxf>
      <numFmt numFmtId="3" formatCode="#,##0"/>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border>
        <left style="thin">
          <color rgb="FF000000"/>
        </left>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border>
        <left style="thin">
          <color rgb="FF000000"/>
        </left>
      </border>
    </dxf>
    <dxf>
      <numFmt numFmtId="3" formatCode="#,##0"/>
    </dxf>
    <dxf>
      <numFmt numFmtId="3" formatCode="#,##0"/>
      <border>
        <left style="thin">
          <color rgb="FF000000"/>
        </left>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vertical/>
      </border>
    </dxf>
    <dxf>
      <border>
        <bottom style="medium">
          <color indexed="64"/>
        </bottom>
      </border>
    </dxf>
    <dxf>
      <border diagonalUp="0" diagonalDown="0">
        <left/>
        <right/>
        <top/>
        <bottom/>
        <vertical/>
        <horizontal/>
      </border>
    </dxf>
    <dxf>
      <numFmt numFmtId="3" formatCode="#,##0"/>
    </dxf>
    <dxf>
      <alignment horizontal="right" vertical="bottom" textRotation="0" indent="0" justifyLastLine="0" shrinkToFit="0" readingOrder="0"/>
      <border diagonalUp="0" diagonalDown="0">
        <left style="thin">
          <color indexed="64"/>
        </left>
        <right style="medium">
          <color indexed="64"/>
        </right>
      </border>
    </dxf>
    <dxf>
      <numFmt numFmtId="3" formatCode="#,##0"/>
    </dxf>
    <dxf>
      <numFmt numFmtId="3" formatCode="#,##0"/>
      <border diagonalUp="0" diagonalDown="0">
        <left/>
        <right style="thin">
          <color indexed="64"/>
        </right>
        <top/>
        <bottom/>
        <vertical/>
        <horizontal/>
      </border>
    </dxf>
    <dxf>
      <numFmt numFmtId="3" formatCode="#,##0"/>
    </dxf>
    <dxf>
      <numFmt numFmtId="3" formatCode="#,##0"/>
      <border diagonalUp="0" diagonalDown="0">
        <left/>
        <right style="thin">
          <color indexed="64"/>
        </right>
        <top/>
        <bottom/>
        <vertical/>
        <horizontal/>
      </border>
    </dxf>
    <dxf>
      <numFmt numFmtId="3" formatCode="#,##0"/>
    </dxf>
    <dxf>
      <numFmt numFmtId="3" formatCode="#,##0"/>
    </dxf>
    <dxf>
      <numFmt numFmtId="3" formatCode="#,##0"/>
    </dxf>
    <dxf>
      <numFmt numFmtId="3" formatCode="#,##0"/>
    </dxf>
    <dxf>
      <numFmt numFmtId="3" formatCode="#,##0"/>
    </dxf>
    <dxf>
      <numFmt numFmtId="3" formatCode="#,##0"/>
      <border>
        <left style="thin">
          <color rgb="FF000000"/>
        </left>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border>
        <left style="thin">
          <color rgb="FF000000"/>
        </left>
      </border>
    </dxf>
    <dxf>
      <numFmt numFmtId="3" formatCode="#,##0"/>
    </dxf>
    <dxf>
      <numFmt numFmtId="3" formatCode="#,##0"/>
      <border>
        <left style="thin">
          <color rgb="FF000000"/>
        </left>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outline="0">
        <left/>
        <right/>
        <top/>
        <bottom/>
      </border>
    </dxf>
    <dxf>
      <border>
        <bottom style="medium">
          <color indexed="64"/>
        </bottom>
      </border>
    </dxf>
    <dxf>
      <alignment horizontal="right" vertical="bottom" textRotation="0" indent="0" justifyLastLine="0" shrinkToFit="0" readingOrder="0"/>
      <border diagonalUp="0" diagonalDown="0">
        <left/>
        <right style="medium">
          <color indexed="64"/>
        </right>
        <top/>
        <bottom/>
        <horizontal/>
      </border>
    </dxf>
    <dxf>
      <numFmt numFmtId="3" formatCode="#,##0"/>
    </dxf>
    <dxf>
      <numFmt numFmtId="3" formatCode="#,##0"/>
    </dxf>
    <dxf>
      <numFmt numFmtId="3" formatCode="#,##0"/>
      <border diagonalUp="0" diagonalDown="0">
        <left style="medium">
          <color indexed="64"/>
        </left>
        <top/>
        <bottom/>
        <horizontal/>
      </border>
    </dxf>
    <dxf>
      <border diagonalUp="0" diagonalDown="0">
        <left style="medium">
          <color indexed="64"/>
        </left>
        <right style="medium">
          <color indexed="64"/>
        </right>
        <vertical/>
      </border>
    </dxf>
    <dxf>
      <border>
        <bottom style="medium">
          <color indexed="64"/>
        </bottom>
      </border>
    </dxf>
    <dxf>
      <border diagonalUp="0" diagonalDown="0">
        <left/>
        <right/>
        <top/>
        <bottom/>
        <vertical/>
        <horizontal/>
      </border>
    </dxf>
    <dxf>
      <alignment horizontal="right" vertical="bottom" textRotation="0" indent="0" justifyLastLine="0" shrinkToFit="0" readingOrder="0"/>
      <border diagonalUp="0" diagonalDown="0">
        <left style="thin">
          <color indexed="64"/>
        </left>
        <right style="medium">
          <color indexed="64"/>
        </right>
        <top/>
        <bottom/>
        <horizontal/>
      </border>
    </dxf>
    <dxf>
      <numFmt numFmtId="3" formatCode="#,##0"/>
      <border diagonalUp="0" diagonalDown="0">
        <left/>
        <right style="thin">
          <color indexed="64"/>
        </right>
        <top/>
        <bottom/>
        <vertical/>
        <horizontal/>
      </border>
    </dxf>
    <dxf>
      <numFmt numFmtId="3" formatCode="#,##0"/>
    </dxf>
    <dxf>
      <numFmt numFmtId="3" formatCode="#,##0"/>
    </dxf>
    <dxf>
      <numFmt numFmtId="3" formatCode="#,##0"/>
      <border diagonalUp="0" diagonalDown="0">
        <left style="medium">
          <color indexed="64"/>
        </left>
        <top/>
        <bottom/>
        <horizontal/>
      </border>
    </dxf>
    <dxf>
      <border diagonalUp="0" diagonalDown="0">
        <left style="medium">
          <color indexed="64"/>
        </left>
        <right style="medium">
          <color indexed="64"/>
        </right>
        <vertical/>
      </border>
    </dxf>
    <dxf>
      <border>
        <bottom style="medium">
          <color indexed="64"/>
        </bottom>
      </border>
    </dxf>
    <dxf>
      <numFmt numFmtId="164" formatCode="#,##0.0"/>
      <border diagonalUp="0" diagonalDown="0" outline="0">
        <left/>
        <right style="medium">
          <color indexed="64"/>
        </right>
        <top/>
        <bottom/>
      </border>
    </dxf>
    <dxf>
      <numFmt numFmtId="164" formatCode="#,##0.0"/>
      <border diagonalUp="0" diagonalDown="0">
        <left/>
        <right style="thin">
          <color indexed="64"/>
        </right>
        <vertical/>
      </border>
    </dxf>
    <dxf>
      <numFmt numFmtId="3" formatCode="#,##0"/>
      <border diagonalUp="0" diagonalDown="0">
        <left/>
        <right style="thin">
          <color indexed="64"/>
        </right>
        <vertical/>
      </border>
    </dxf>
    <dxf>
      <numFmt numFmtId="3" formatCode="#,##0"/>
      <border diagonalUp="0" diagonalDown="0">
        <left/>
        <right style="thin">
          <color indexed="64"/>
        </right>
        <vertic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vertical/>
      </border>
    </dxf>
    <dxf>
      <border>
        <bottom style="medium">
          <color indexed="64"/>
        </bottom>
      </border>
    </dxf>
    <dxf>
      <border diagonalUp="0" diagonalDown="0">
        <left/>
        <right/>
        <top/>
        <bottom/>
        <vertical/>
        <horizontal/>
      </border>
    </dxf>
    <dxf>
      <numFmt numFmtId="3" formatCode="#,##0"/>
      <fill>
        <patternFill patternType="none"/>
      </fill>
      <border diagonalUp="0" diagonalDown="0">
        <left/>
        <right style="medium">
          <color indexed="64"/>
        </right>
        <vertical/>
      </border>
    </dxf>
    <dxf>
      <numFmt numFmtId="3" formatCode="#,##0"/>
      <fill>
        <patternFill patternType="none"/>
      </fill>
    </dxf>
    <dxf>
      <fill>
        <patternFill patternType="none"/>
      </fill>
      <border diagonalUp="0" diagonalDown="0">
        <left style="medium">
          <color indexed="64"/>
        </left>
        <right style="medium">
          <color indexed="64"/>
        </right>
        <vertical/>
      </border>
    </dxf>
    <dxf>
      <fill>
        <patternFill patternType="none"/>
      </fill>
    </dxf>
    <dxf>
      <border>
        <bottom style="medium">
          <color indexed="64"/>
        </bottom>
      </border>
    </dxf>
    <dxf>
      <fill>
        <patternFill patternType="none"/>
      </fill>
      <border diagonalUp="0" diagonalDown="0">
        <left/>
        <right/>
        <top/>
        <bottom/>
        <vertical/>
        <horizontal/>
      </border>
    </dxf>
    <dxf>
      <numFmt numFmtId="3" formatCode="#,##0"/>
      <border diagonalUp="0" diagonalDown="0">
        <left style="thin">
          <color indexed="64"/>
        </left>
        <right style="medium">
          <color indexed="64"/>
        </right>
        <vertical/>
      </border>
    </dxf>
    <dxf>
      <numFmt numFmtId="3" formatCode="#,##0"/>
      <border diagonalUp="0" diagonalDown="0">
        <left/>
        <right style="thin">
          <color indexed="64"/>
        </right>
        <top/>
        <bottom/>
        <vertical/>
        <horizontal/>
      </border>
    </dxf>
    <dxf>
      <numFmt numFmtId="3" formatCode="#,##0"/>
      <border diagonalUp="0" diagonalDown="0">
        <left/>
        <right style="thin">
          <color indexed="64"/>
        </right>
        <top/>
        <bottom/>
        <vertical/>
        <horizontal/>
      </border>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border diagonalUp="0" diagonalDown="0">
        <left style="medium">
          <color indexed="64"/>
        </left>
        <right style="medium">
          <color indexed="64"/>
        </right>
        <vertical/>
      </border>
    </dxf>
    <dxf>
      <border>
        <bottom style="medium">
          <color indexed="64"/>
        </bottom>
      </border>
    </dxf>
    <dxf>
      <numFmt numFmtId="3" formatCode="#,##0"/>
      <fill>
        <patternFill patternType="none"/>
      </fill>
      <border diagonalUp="0" diagonalDown="0">
        <left/>
        <right style="medium">
          <color indexed="64"/>
        </right>
        <vertical/>
      </border>
    </dxf>
    <dxf>
      <numFmt numFmtId="3" formatCode="#,##0"/>
      <fill>
        <patternFill patternType="none"/>
      </fill>
      <border diagonalUp="0" diagonalDown="0">
        <left/>
        <right style="thin">
          <color indexed="64"/>
        </right>
        <vertical/>
      </border>
    </dxf>
    <dxf>
      <numFmt numFmtId="3" formatCode="#,##0"/>
      <fill>
        <patternFill patternType="none"/>
      </fill>
    </dxf>
    <dxf>
      <numFmt numFmtId="3" formatCode="#,##0"/>
      <fill>
        <patternFill patternType="none"/>
      </fill>
    </dxf>
    <dxf>
      <fill>
        <patternFill patternType="none"/>
      </fill>
      <border diagonalUp="0" diagonalDown="0">
        <left style="medium">
          <color indexed="64"/>
        </left>
        <right style="medium">
          <color indexed="64"/>
        </right>
        <vertical/>
      </border>
    </dxf>
    <dxf>
      <fill>
        <patternFill patternType="none"/>
      </fill>
    </dxf>
    <dxf>
      <fill>
        <patternFill patternType="none"/>
      </fill>
    </dxf>
    <dxf>
      <border>
        <bottom style="medium">
          <color indexed="64"/>
        </bottom>
      </border>
    </dxf>
    <dxf>
      <fill>
        <patternFill patternType="none"/>
      </fill>
      <border diagonalUp="0" diagonalDown="0">
        <left/>
        <right/>
        <top/>
        <bottom/>
        <vertical/>
        <horizontal/>
      </border>
    </dxf>
    <dxf>
      <fill>
        <patternFill patternType="none"/>
      </fill>
      <alignment horizontal="right" vertical="bottom" textRotation="0" indent="0" justifyLastLine="0" shrinkToFit="0" readingOrder="0"/>
      <border diagonalUp="0" diagonalDown="0">
        <left style="thin">
          <color indexed="64"/>
        </left>
        <right style="medium">
          <color indexed="64"/>
        </right>
        <top/>
        <bottom/>
        <horizontal/>
      </border>
    </dxf>
    <dxf>
      <numFmt numFmtId="164" formatCode="#,##0.0"/>
      <fill>
        <patternFill patternType="none"/>
      </fill>
      <border diagonalUp="0" diagonalDown="0">
        <left style="thin">
          <color indexed="64"/>
        </left>
        <right style="thin">
          <color indexed="64"/>
        </right>
        <top/>
        <bottom/>
        <horizontal/>
      </border>
    </dxf>
    <dxf>
      <numFmt numFmtId="164" formatCode="#,##0.0"/>
      <fill>
        <patternFill patternType="none"/>
      </fill>
    </dxf>
    <dxf>
      <numFmt numFmtId="3" formatCode="#,##0"/>
      <fill>
        <patternFill patternType="none"/>
      </fill>
    </dxf>
    <dxf>
      <numFmt numFmtId="3" formatCode="#,##0"/>
      <fill>
        <patternFill patternType="none"/>
      </fill>
      <border diagonalUp="0" diagonalDown="0">
        <left/>
        <right style="thin">
          <color indexed="64"/>
        </right>
        <top/>
        <bottom/>
        <vertical/>
        <horizontal/>
      </border>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border diagonalUp="0" diagonalDown="0">
        <left style="medium">
          <color indexed="64"/>
        </left>
        <top/>
        <bottom/>
        <horizontal/>
      </border>
    </dxf>
    <dxf>
      <fill>
        <patternFill patternType="none"/>
      </fill>
      <border diagonalUp="0" diagonalDown="0">
        <left style="medium">
          <color indexed="64"/>
        </left>
        <right style="medium">
          <color indexed="64"/>
        </right>
        <vertical/>
      </border>
    </dxf>
    <dxf>
      <fill>
        <patternFill patternType="none"/>
      </fill>
    </dxf>
    <dxf>
      <border>
        <bottom style="medium">
          <color indexed="64"/>
        </bottom>
      </border>
    </dxf>
    <dxf>
      <fill>
        <patternFill patternType="none"/>
      </fill>
    </dxf>
    <dxf>
      <fill>
        <patternFill patternType="none"/>
      </fill>
      <alignment horizontal="right" vertical="bottom" textRotation="0" indent="0" justifyLastLine="0" shrinkToFit="0" readingOrder="0"/>
      <border diagonalUp="0" diagonalDown="0">
        <left/>
        <right style="medium">
          <color indexed="64"/>
        </right>
      </border>
    </dxf>
    <dxf>
      <numFmt numFmtId="165" formatCode="0.0"/>
      <fill>
        <patternFill patternType="none"/>
      </fill>
    </dxf>
    <dxf>
      <numFmt numFmtId="165" formatCode="0.0"/>
      <fill>
        <patternFill patternType="none"/>
      </fill>
      <border diagonalUp="0" diagonalDown="0">
        <left/>
        <right style="thin">
          <color indexed="64"/>
        </right>
        <vertical/>
      </border>
    </dxf>
    <dxf>
      <numFmt numFmtId="3" formatCode="#,##0"/>
      <fill>
        <patternFill patternType="none"/>
      </fill>
      <border diagonalUp="0" diagonalDown="0">
        <left/>
        <right style="thin">
          <color indexed="64"/>
        </right>
        <vertical/>
      </border>
    </dxf>
    <dxf>
      <numFmt numFmtId="3" formatCode="#,##0"/>
      <fill>
        <patternFill patternType="none"/>
      </fill>
      <border diagonalUp="0" diagonalDown="0">
        <left/>
        <right style="thin">
          <color indexed="64"/>
        </right>
        <vertical/>
      </border>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border diagonalUp="0" diagonalDown="0">
        <left style="medium">
          <color indexed="64"/>
        </left>
      </border>
    </dxf>
    <dxf>
      <fill>
        <patternFill patternType="none"/>
      </fill>
      <border diagonalUp="0" diagonalDown="0">
        <left style="medium">
          <color indexed="64"/>
        </left>
        <right style="medium">
          <color indexed="64"/>
        </right>
        <vertical/>
      </border>
    </dxf>
    <dxf>
      <fill>
        <patternFill patternType="none"/>
      </fill>
    </dxf>
    <dxf>
      <border>
        <bottom style="medium">
          <color indexed="64"/>
        </bottom>
      </border>
    </dxf>
    <dxf>
      <fill>
        <patternFill patternType="none"/>
      </fill>
      <border diagonalUp="0" diagonalDown="0">
        <left/>
        <right/>
        <top/>
        <bottom/>
        <vertical/>
        <horizontal/>
      </border>
    </dxf>
    <dxf>
      <numFmt numFmtId="164" formatCode="#,##0.0"/>
      <fill>
        <patternFill patternType="none"/>
      </fill>
      <border>
        <left style="thin">
          <color rgb="FF000000"/>
        </left>
      </border>
    </dxf>
    <dxf>
      <numFmt numFmtId="3" formatCode="#,##0"/>
      <fill>
        <patternFill patternType="none"/>
      </fill>
      <border diagonalUp="0" diagonalDown="0">
        <left/>
        <right style="medium">
          <color indexed="64"/>
        </right>
        <vertical/>
      </border>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fill>
        <patternFill patternType="none"/>
      </fill>
      <border diagonalUp="0" diagonalDown="0">
        <left style="medium">
          <color indexed="64"/>
        </left>
        <right style="medium">
          <color indexed="64"/>
        </right>
        <vertical/>
      </border>
    </dxf>
    <dxf>
      <border>
        <left style="medium">
          <color rgb="FF000000"/>
        </left>
        <right style="medium">
          <color rgb="FF000000"/>
        </right>
        <top style="medium">
          <color rgb="FF000000"/>
        </top>
        <bottom style="medium">
          <color rgb="FF000000"/>
        </bottom>
      </border>
    </dxf>
    <dxf>
      <fill>
        <patternFill patternType="none"/>
      </fill>
    </dxf>
    <dxf>
      <border>
        <bottom style="medium">
          <color indexed="64"/>
        </bottom>
      </border>
    </dxf>
    <dxf>
      <fill>
        <patternFill patternType="none"/>
      </fill>
      <border diagonalUp="0" diagonalDown="0">
        <left/>
        <right/>
        <top/>
        <bottom/>
        <vertical/>
        <horizontal/>
      </border>
    </dxf>
    <dxf>
      <fill>
        <patternFill patternType="none"/>
      </fill>
      <alignment horizontal="right" vertical="bottom" textRotation="0" indent="0" justifyLastLine="0" shrinkToFit="0" readingOrder="0"/>
      <border diagonalUp="0" diagonalDown="0">
        <left style="thin">
          <color indexed="64"/>
        </left>
        <right style="medium">
          <color indexed="64"/>
        </right>
      </border>
    </dxf>
    <dxf>
      <numFmt numFmtId="164" formatCode="#,##0.0"/>
      <fill>
        <patternFill patternType="none"/>
      </fill>
      <border diagonalUp="0" diagonalDown="0">
        <left style="thin">
          <color indexed="64"/>
        </left>
        <right/>
      </border>
    </dxf>
    <dxf>
      <numFmt numFmtId="164" formatCode="#,##0.0"/>
      <fill>
        <patternFill patternType="none"/>
      </fill>
    </dxf>
    <dxf>
      <numFmt numFmtId="3" formatCode="#,##0"/>
      <fill>
        <patternFill patternType="none"/>
      </fill>
    </dxf>
    <dxf>
      <numFmt numFmtId="3" formatCode="#,##0"/>
      <fill>
        <patternFill patternType="none"/>
      </fill>
      <border diagonalUp="0" diagonalDown="0">
        <left/>
        <right style="thin">
          <color indexed="64"/>
        </right>
        <vertical/>
      </border>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fill>
        <patternFill patternType="none"/>
      </fill>
      <border diagonalUp="0" diagonalDown="0">
        <left style="medium">
          <color indexed="64"/>
        </left>
        <right style="medium">
          <color indexed="64"/>
        </right>
        <vertical/>
      </border>
    </dxf>
    <dxf>
      <fill>
        <patternFill patternType="none"/>
      </fill>
    </dxf>
    <dxf>
      <border>
        <bottom style="medium">
          <color indexed="64"/>
        </bottom>
      </border>
    </dxf>
    <dxf>
      <fill>
        <patternFill patternType="none"/>
      </fill>
      <border diagonalUp="0" diagonalDown="0">
        <left/>
        <right/>
        <top/>
        <bottom/>
        <vertical/>
        <horizontal/>
      </border>
    </dxf>
    <dxf>
      <numFmt numFmtId="164" formatCode="#,##0.0"/>
      <fill>
        <patternFill patternType="none"/>
      </fill>
      <border diagonalUp="0" diagonalDown="0">
        <left style="thin">
          <color indexed="64"/>
        </left>
        <right style="medium">
          <color indexed="64"/>
        </right>
        <top/>
        <bottom/>
      </border>
    </dxf>
    <dxf>
      <numFmt numFmtId="164" formatCode="#,##0.0"/>
      <fill>
        <patternFill patternType="none"/>
      </fill>
      <border diagonalUp="0" diagonalDown="0">
        <left/>
        <right style="thin">
          <color indexed="64"/>
        </right>
        <top/>
        <bottom/>
      </border>
    </dxf>
    <dxf>
      <numFmt numFmtId="3" formatCode="#,##0"/>
      <fill>
        <patternFill patternType="none"/>
      </fill>
      <border diagonalUp="0" diagonalDown="0">
        <left style="thin">
          <color indexed="64"/>
        </left>
        <right style="thin">
          <color indexed="64"/>
        </right>
        <top/>
        <bottom/>
        <vertical/>
        <horizontal/>
      </border>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fill>
        <patternFill patternType="none"/>
      </fill>
      <border diagonalUp="0" diagonalDown="0">
        <left style="medium">
          <color indexed="64"/>
        </left>
        <right style="medium">
          <color indexed="64"/>
        </right>
        <top/>
        <bottom/>
        <vertical/>
        <horizontal/>
      </border>
    </dxf>
    <dxf>
      <fill>
        <patternFill patternType="none"/>
      </fill>
    </dxf>
    <dxf>
      <border>
        <bottom style="medium">
          <color indexed="64"/>
        </bottom>
      </border>
    </dxf>
    <dxf>
      <fill>
        <patternFill patternType="none"/>
      </fill>
    </dxf>
    <dxf>
      <numFmt numFmtId="164" formatCode="#,##0.0"/>
      <fill>
        <patternFill patternType="none"/>
      </fill>
      <border diagonalUp="0" diagonalDown="0">
        <left/>
        <right style="medium">
          <color indexed="64"/>
        </right>
        <top/>
        <bottom/>
      </border>
    </dxf>
    <dxf>
      <numFmt numFmtId="164" formatCode="#,##0.0"/>
      <fill>
        <patternFill patternType="none"/>
      </fill>
    </dxf>
    <dxf>
      <numFmt numFmtId="3" formatCode="#,##0"/>
      <fill>
        <patternFill patternType="none"/>
      </fill>
    </dxf>
    <dxf>
      <numFmt numFmtId="3" formatCode="#,##0"/>
      <fill>
        <patternFill patternType="none"/>
      </fill>
      <border diagonalUp="0" diagonalDown="0">
        <left/>
        <right style="thin">
          <color indexed="64"/>
        </right>
        <vertical/>
      </border>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fill>
        <patternFill patternType="none"/>
      </fill>
      <border diagonalUp="0" diagonalDown="0">
        <left style="medium">
          <color indexed="64"/>
        </left>
        <right style="medium">
          <color indexed="64"/>
        </right>
        <top/>
        <bottom/>
        <vertical/>
        <horizontal/>
      </border>
    </dxf>
    <dxf>
      <fill>
        <patternFill patternType="none"/>
      </fill>
    </dxf>
    <dxf>
      <border>
        <bottom style="medium">
          <color indexed="64"/>
        </bottom>
      </border>
    </dxf>
    <dxf>
      <fill>
        <patternFill patternType="none"/>
      </fill>
    </dxf>
    <dxf>
      <fill>
        <patternFill patternType="none"/>
      </fill>
      <alignment horizontal="right" vertical="bottom" textRotation="0" indent="0" justifyLastLine="0" shrinkToFit="0" readingOrder="0"/>
      <border diagonalUp="0" diagonalDown="0">
        <left style="medium">
          <color indexed="64"/>
        </left>
        <right style="medium">
          <color indexed="64"/>
        </right>
      </border>
    </dxf>
    <dxf>
      <numFmt numFmtId="165" formatCode="0.0"/>
      <fill>
        <patternFill patternType="none"/>
      </fill>
      <border diagonalUp="0" diagonalDown="0">
        <left/>
        <right style="thin">
          <color indexed="64"/>
        </right>
        <top/>
        <bottom/>
        <vertical/>
        <horizontal/>
      </border>
    </dxf>
    <dxf>
      <numFmt numFmtId="165" formatCode="0.0"/>
      <fill>
        <patternFill patternType="none"/>
      </fill>
      <border diagonalUp="0" diagonalDown="0">
        <left/>
        <right style="thin">
          <color indexed="64"/>
        </right>
        <top/>
        <bottom/>
        <vertical/>
        <horizontal/>
      </border>
    </dxf>
    <dxf>
      <numFmt numFmtId="3" formatCode="#,##0"/>
      <fill>
        <patternFill patternType="none"/>
      </fill>
      <border diagonalUp="0" diagonalDown="0">
        <left/>
        <right style="thin">
          <color indexed="64"/>
        </right>
        <top/>
        <bottom/>
        <vertical/>
        <horizontal/>
      </border>
    </dxf>
    <dxf>
      <numFmt numFmtId="3" formatCode="#,##0"/>
      <fill>
        <patternFill patternType="none"/>
      </fill>
      <border diagonalUp="0" diagonalDown="0">
        <left/>
        <right style="thin">
          <color indexed="64"/>
        </right>
        <top/>
        <bottom/>
        <vertical/>
        <horizontal/>
      </border>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fill>
        <patternFill patternType="none"/>
      </fill>
      <border diagonalUp="0" diagonalDown="0">
        <left style="medium">
          <color indexed="64"/>
        </left>
        <right style="medium">
          <color indexed="64"/>
        </right>
        <vertical/>
      </border>
    </dxf>
    <dxf>
      <fill>
        <patternFill patternType="none"/>
      </fill>
    </dxf>
    <dxf>
      <border>
        <bottom style="medium">
          <color indexed="64"/>
        </bottom>
      </border>
    </dxf>
    <dxf>
      <fill>
        <patternFill patternType="none"/>
      </fill>
    </dxf>
    <dxf>
      <fill>
        <patternFill patternType="none"/>
      </fill>
      <alignment horizontal="right" vertical="bottom" textRotation="0" indent="0" justifyLastLine="0" shrinkToFit="0" readingOrder="0"/>
      <border diagonalUp="0" diagonalDown="0">
        <left style="thin">
          <color rgb="FF000000"/>
        </left>
        <right style="medium">
          <color rgb="FF000000"/>
        </right>
      </border>
    </dxf>
    <dxf>
      <numFmt numFmtId="164" formatCode="#,##0.0"/>
      <fill>
        <patternFill patternType="none"/>
      </fill>
      <border diagonalUp="0" diagonalDown="0">
        <left style="thin">
          <color rgb="FF000000"/>
        </left>
        <right style="medium">
          <color rgb="FF000000"/>
        </right>
      </border>
    </dxf>
    <dxf>
      <numFmt numFmtId="164" formatCode="#,##0.0"/>
      <fill>
        <patternFill patternType="none"/>
      </fill>
      <border>
        <left style="thin">
          <color rgb="FF000000"/>
        </left>
      </border>
    </dxf>
    <dxf>
      <numFmt numFmtId="3" formatCode="#,##0"/>
      <fill>
        <patternFill patternType="none"/>
      </fill>
      <border>
        <left style="thin">
          <color rgb="FF000000"/>
        </left>
        <right style="medium">
          <color rgb="FF000000"/>
        </right>
      </border>
    </dxf>
    <dxf>
      <numFmt numFmtId="3" formatCode="#,##0"/>
      <fill>
        <patternFill patternType="none"/>
      </fill>
      <border diagonalUp="0" diagonalDown="0">
        <left/>
        <right style="thin">
          <color indexed="64"/>
        </right>
        <vertical/>
      </border>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numFmt numFmtId="3" formatCode="#,##0"/>
      <fill>
        <patternFill patternType="none"/>
      </fill>
    </dxf>
    <dxf>
      <fill>
        <patternFill patternType="none"/>
      </fill>
      <border diagonalUp="0" diagonalDown="0">
        <left style="medium">
          <color indexed="64"/>
        </left>
        <right style="medium">
          <color indexed="64"/>
        </right>
        <vertical/>
      </border>
    </dxf>
    <dxf>
      <fill>
        <patternFill patternType="none"/>
      </fill>
    </dxf>
    <dxf>
      <border>
        <bottom style="medium">
          <color indexed="64"/>
        </bottom>
      </border>
    </dxf>
    <dxf>
      <fill>
        <patternFill patternType="none"/>
      </fill>
      <border diagonalUp="0" diagonalDown="0">
        <left/>
        <right/>
        <top/>
        <bottom/>
        <vertical/>
        <horizontal/>
      </border>
    </dxf>
    <dxf>
      <alignment horizontal="left" vertical="top" textRotation="0" wrapText="1" indent="0" justifyLastLine="0" shrinkToFit="0" readingOrder="0"/>
    </dxf>
    <dxf>
      <alignment vertical="top"/>
    </dxf>
    <dxf>
      <border>
        <left/>
        <right/>
        <top/>
        <bottom/>
      </border>
    </dxf>
    <dxf>
      <fill>
        <patternFill patternType="none"/>
      </fill>
      <alignment horizontal="left" vertical="bottom" textRotation="0" indent="0" justifyLastLine="0" shrinkToFit="0" readingOrder="0"/>
    </dxf>
    <dxf>
      <fill>
        <patternFill patternType="none"/>
      </fill>
    </dxf>
    <dxf>
      <border>
        <left/>
        <right/>
        <top/>
        <bottom/>
      </border>
    </dxf>
    <dxf>
      <fill>
        <patternFill patternType="none"/>
      </fill>
    </dxf>
    <dxf>
      <fill>
        <patternFill patternType="none"/>
      </fill>
      <border diagonalUp="0" diagonalDown="0">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ontents" displayName="contents" ref="A3:B32" totalsRowShown="0" headerRowDxfId="395" dataDxfId="394" tableBorderDxfId="393">
  <tableColumns count="2">
    <tableColumn id="1" xr3:uid="{00000000-0010-0000-0000-000001000000}" name="Table number" dataDxfId="392"/>
    <tableColumn id="2" xr3:uid="{00000000-0010-0000-0000-000002000000}" name="Table name" dataDxfId="391"/>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otes" displayName="notes" ref="A3:B35" totalsRowShown="0" tableBorderDxfId="390">
  <tableColumns count="2">
    <tableColumn id="1" xr3:uid="{00000000-0010-0000-0100-000001000000}" name="Note number" dataDxfId="389"/>
    <tableColumn id="2" xr3:uid="{00000000-0010-0000-0100-000002000000}" name="Note text" dataDxfId="388"/>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1" displayName="table_1" ref="A6:R51" totalsRowShown="0" headerRowDxfId="387" dataDxfId="385" headerRowBorderDxfId="386">
  <tableColumns count="18">
    <tableColumn id="1" xr3:uid="{00000000-0010-0000-0200-000001000000}" name="Crop/Land use" dataDxfId="384"/>
    <tableColumn id="2" xr3:uid="{00000000-0010-0000-0200-000002000000}" name="2013 Area (Hectares)" dataDxfId="383"/>
    <tableColumn id="3" xr3:uid="{00000000-0010-0000-0200-000003000000}" name="2014 Area (Hectares)" dataDxfId="382"/>
    <tableColumn id="4" xr3:uid="{00000000-0010-0000-0200-000004000000}" name="2015 Area (Hectares)" dataDxfId="381"/>
    <tableColumn id="5" xr3:uid="{00000000-0010-0000-0200-000005000000}" name="2016 Area (Hectares)" dataDxfId="380"/>
    <tableColumn id="6" xr3:uid="{00000000-0010-0000-0200-000006000000}" name="2017 Area (Hectares)" dataDxfId="379"/>
    <tableColumn id="7" xr3:uid="{00000000-0010-0000-0200-000007000000}" name="2018 Area (Hectares)" dataDxfId="378"/>
    <tableColumn id="8" xr3:uid="{00000000-0010-0000-0200-000008000000}" name="2019 Area (Hectares)" dataDxfId="377"/>
    <tableColumn id="9" xr3:uid="{00000000-0010-0000-0200-000009000000}" name="2020 Area (Hectares)" dataDxfId="376"/>
    <tableColumn id="10" xr3:uid="{00000000-0010-0000-0200-00000A000000}" name="2021 Area (Hectares)" dataDxfId="375"/>
    <tableColumn id="11" xr3:uid="{00000000-0010-0000-0200-00000B000000}" name="2022 Area (Hectares)" dataDxfId="374"/>
    <tableColumn id="12" xr3:uid="{00000000-0010-0000-0200-00000C000000}" name="2023 Area (Hectares)" dataDxfId="373"/>
    <tableColumn id="13" xr3:uid="{00000000-0010-0000-0200-00000D000000}" name="2024 Area (Hectares)" dataDxfId="372"/>
    <tableColumn id="14" xr3:uid="{00000000-0010-0000-0200-00000E000000}" name="2025 Area (Hectares)" dataDxfId="371"/>
    <tableColumn id="15" xr3:uid="{00000000-0010-0000-0200-00000F000000}" name="5 year average 2020 to 2024 (Hectares)" dataDxfId="370"/>
    <tableColumn id="16" xr3:uid="{00000000-0010-0000-0200-000010000000}" name="% Change 2025 to 5 year average" dataDxfId="369"/>
    <tableColumn id="17" xr3:uid="{00000000-0010-0000-0200-000011000000}" name="% Change 2025 to 2024" dataDxfId="368"/>
    <tableColumn id="18" xr3:uid="{00000000-0010-0000-0200-000012000000}" name="Notes " dataDxfId="367"/>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2" displayName="table_2" ref="A6:R39" totalsRowShown="0" headerRowDxfId="366" dataDxfId="364" headerRowBorderDxfId="365">
  <tableColumns count="18">
    <tableColumn id="1" xr3:uid="{00000000-0010-0000-0300-000001000000}" name="Vegetables and fruits for human consumption" dataDxfId="363"/>
    <tableColumn id="2" xr3:uid="{00000000-0010-0000-0300-000002000000}" name="2013 Area (Hectares)" dataDxfId="362"/>
    <tableColumn id="3" xr3:uid="{00000000-0010-0000-0300-000003000000}" name="2014 Area (Hectares)" dataDxfId="361"/>
    <tableColumn id="4" xr3:uid="{00000000-0010-0000-0300-000004000000}" name="2015 Area (Hectares)" dataDxfId="360"/>
    <tableColumn id="5" xr3:uid="{00000000-0010-0000-0300-000005000000}" name="2016 Area (Hectares)" dataDxfId="359"/>
    <tableColumn id="6" xr3:uid="{00000000-0010-0000-0300-000006000000}" name="2017 Area (Hectares)" dataDxfId="358"/>
    <tableColumn id="7" xr3:uid="{00000000-0010-0000-0300-000007000000}" name="2018 Area (Hectares)" dataDxfId="357"/>
    <tableColumn id="8" xr3:uid="{00000000-0010-0000-0300-000008000000}" name="2019 Area (Hectares)" dataDxfId="356"/>
    <tableColumn id="9" xr3:uid="{00000000-0010-0000-0300-000009000000}" name="2020 Area (Hectares)" dataDxfId="355"/>
    <tableColumn id="10" xr3:uid="{00000000-0010-0000-0300-00000A000000}" name="2021 Area (Hectares)" dataDxfId="354"/>
    <tableColumn id="11" xr3:uid="{00000000-0010-0000-0300-00000B000000}" name="2022 Area (Hectares)" dataDxfId="353"/>
    <tableColumn id="12" xr3:uid="{00000000-0010-0000-0300-00000C000000}" name="2023 Area (Hectares)" dataDxfId="352"/>
    <tableColumn id="13" xr3:uid="{00000000-0010-0000-0300-00000D000000}" name="2024 Area (Hectares)" dataDxfId="351"/>
    <tableColumn id="14" xr3:uid="{00000000-0010-0000-0300-00000E000000}" name="2025 Area (Hectares)" dataDxfId="350"/>
    <tableColumn id="15" xr3:uid="{00000000-0010-0000-0300-00000F000000}" name="5 year average 2020 to 2024 (Hectares)" dataDxfId="349"/>
    <tableColumn id="16" xr3:uid="{00000000-0010-0000-0300-000010000000}" name="% Change 2025 to 5 year average" dataDxfId="348"/>
    <tableColumn id="17" xr3:uid="{00000000-0010-0000-0300-000011000000}" name="% Change 2025 to 2024" dataDxfId="347"/>
    <tableColumn id="18" xr3:uid="{00000000-0010-0000-0300-000012000000}" name="Notes " dataDxfId="346"/>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3" displayName="table_3" ref="A6:Q22" totalsRowShown="0" headerRowDxfId="345" dataDxfId="343" headerRowBorderDxfId="344">
  <tableColumns count="17">
    <tableColumn id="1" xr3:uid="{00000000-0010-0000-0400-000001000000}" name="Cattle by category" dataDxfId="342"/>
    <tableColumn id="2" xr3:uid="{00000000-0010-0000-0400-000002000000}" name="2013 (Number)" dataDxfId="341"/>
    <tableColumn id="3" xr3:uid="{00000000-0010-0000-0400-000003000000}" name="2014 (Number)" dataDxfId="340"/>
    <tableColumn id="4" xr3:uid="{00000000-0010-0000-0400-000004000000}" name="2015 (Number)" dataDxfId="339"/>
    <tableColumn id="5" xr3:uid="{00000000-0010-0000-0400-000005000000}" name="2016 (Number)" dataDxfId="338"/>
    <tableColumn id="6" xr3:uid="{00000000-0010-0000-0400-000006000000}" name="2017 (Number)" dataDxfId="337"/>
    <tableColumn id="7" xr3:uid="{00000000-0010-0000-0400-000007000000}" name="2018 (Number)" dataDxfId="336"/>
    <tableColumn id="8" xr3:uid="{00000000-0010-0000-0400-000008000000}" name="2019 (Number)" dataDxfId="335"/>
    <tableColumn id="9" xr3:uid="{00000000-0010-0000-0400-000009000000}" name="2020 (Number)" dataDxfId="334"/>
    <tableColumn id="10" xr3:uid="{00000000-0010-0000-0400-00000A000000}" name="2021 (Number)" dataDxfId="333"/>
    <tableColumn id="11" xr3:uid="{00000000-0010-0000-0400-00000B000000}" name="2022 (Number)" dataDxfId="332"/>
    <tableColumn id="12" xr3:uid="{00000000-0010-0000-0400-00000C000000}" name="2023 (Number)" dataDxfId="331"/>
    <tableColumn id="13" xr3:uid="{00000000-0010-0000-0400-00000D000000}" name="2024 (Number)" dataDxfId="330"/>
    <tableColumn id="14" xr3:uid="{00000000-0010-0000-0400-00000E000000}" name="2025 (Number)" dataDxfId="329"/>
    <tableColumn id="15" xr3:uid="{00000000-0010-0000-0400-00000F000000}" name="5 year average 2020 to 2024 (Number)" dataDxfId="328"/>
    <tableColumn id="16" xr3:uid="{00000000-0010-0000-0400-000010000000}" name="% Change 2025 to 5 year average" dataDxfId="327"/>
    <tableColumn id="17" xr3:uid="{00000000-0010-0000-0400-000011000000}" name="% Change 2025 to 2024" dataDxfId="326"/>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4" displayName="table_4" ref="A6:Q13" totalsRowShown="0" headerRowDxfId="325" dataDxfId="323" headerRowBorderDxfId="324">
  <tableColumns count="17">
    <tableColumn id="1" xr3:uid="{00000000-0010-0000-0500-000001000000}" name="Sheep by category" dataDxfId="322"/>
    <tableColumn id="2" xr3:uid="{00000000-0010-0000-0500-000002000000}" name="2013 (Number)" dataDxfId="321"/>
    <tableColumn id="3" xr3:uid="{00000000-0010-0000-0500-000003000000}" name="2014 (Number)" dataDxfId="320"/>
    <tableColumn id="4" xr3:uid="{00000000-0010-0000-0500-000004000000}" name="2015 (Number)" dataDxfId="319"/>
    <tableColumn id="5" xr3:uid="{00000000-0010-0000-0500-000005000000}" name="2016 (Number)" dataDxfId="318"/>
    <tableColumn id="6" xr3:uid="{00000000-0010-0000-0500-000006000000}" name="2017 (Number)" dataDxfId="317"/>
    <tableColumn id="7" xr3:uid="{00000000-0010-0000-0500-000007000000}" name="2018 (Number)" dataDxfId="316"/>
    <tableColumn id="8" xr3:uid="{00000000-0010-0000-0500-000008000000}" name="2019 (Number)" dataDxfId="315"/>
    <tableColumn id="9" xr3:uid="{00000000-0010-0000-0500-000009000000}" name="2020 (Number)" dataDxfId="314"/>
    <tableColumn id="10" xr3:uid="{00000000-0010-0000-0500-00000A000000}" name="2021 (Number)" dataDxfId="313"/>
    <tableColumn id="11" xr3:uid="{00000000-0010-0000-0500-00000B000000}" name="2022 (Number)" dataDxfId="312"/>
    <tableColumn id="12" xr3:uid="{00000000-0010-0000-0500-00000C000000}" name="2023 (Number)" dataDxfId="311"/>
    <tableColumn id="13" xr3:uid="{00000000-0010-0000-0500-00000D000000}" name="2024 (Number)" dataDxfId="310"/>
    <tableColumn id="14" xr3:uid="{00000000-0010-0000-0500-00000E000000}" name="2025 (Number)" dataDxfId="309"/>
    <tableColumn id="15" xr3:uid="{00000000-0010-0000-0500-00000F000000}" name="5 year average 2020 to 2024 (Number)" dataDxfId="308"/>
    <tableColumn id="16" xr3:uid="{00000000-0010-0000-0500-000010000000}" name="% Change 2025 to 5 year average" dataDxfId="307"/>
    <tableColumn id="17" xr3:uid="{00000000-0010-0000-0500-000011000000}" name="% Change 2025 to 2024" dataDxfId="306"/>
  </tableColumns>
  <tableStyleInfo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5" displayName="table_5" ref="A6:R19" totalsRowShown="0" headerRowDxfId="305" dataDxfId="303" headerRowBorderDxfId="304">
  <tableColumns count="18">
    <tableColumn id="1" xr3:uid="{00000000-0010-0000-0600-000001000000}" name="Pigs by category" dataDxfId="302"/>
    <tableColumn id="2" xr3:uid="{00000000-0010-0000-0600-000002000000}" name="2013 (Number)" dataDxfId="301"/>
    <tableColumn id="3" xr3:uid="{00000000-0010-0000-0600-000003000000}" name="2014 (Number)" dataDxfId="300"/>
    <tableColumn id="4" xr3:uid="{00000000-0010-0000-0600-000004000000}" name="2015 (Number)" dataDxfId="299"/>
    <tableColumn id="5" xr3:uid="{00000000-0010-0000-0600-000005000000}" name="2016 (Number)" dataDxfId="298"/>
    <tableColumn id="6" xr3:uid="{00000000-0010-0000-0600-000006000000}" name="2017 (Number)" dataDxfId="297"/>
    <tableColumn id="7" xr3:uid="{00000000-0010-0000-0600-000007000000}" name="2018 (Number)" dataDxfId="296"/>
    <tableColumn id="8" xr3:uid="{00000000-0010-0000-0600-000008000000}" name="2019 (Number)" dataDxfId="295"/>
    <tableColumn id="9" xr3:uid="{00000000-0010-0000-0600-000009000000}" name="2020 (Number)" dataDxfId="294"/>
    <tableColumn id="10" xr3:uid="{00000000-0010-0000-0600-00000A000000}" name="2021 (Number)" dataDxfId="293"/>
    <tableColumn id="11" xr3:uid="{00000000-0010-0000-0600-00000B000000}" name="2022 (Number)" dataDxfId="292"/>
    <tableColumn id="12" xr3:uid="{00000000-0010-0000-0600-00000C000000}" name="2023 (Number)" dataDxfId="291"/>
    <tableColumn id="13" xr3:uid="{00000000-0010-0000-0600-00000D000000}" name="2024 (Number)" dataDxfId="290"/>
    <tableColumn id="14" xr3:uid="{00000000-0010-0000-0600-00000E000000}" name="2025 (Number)" dataDxfId="289"/>
    <tableColumn id="15" xr3:uid="{00000000-0010-0000-0600-00000F000000}" name="5 year average 2020 to 2024 (Number)" dataDxfId="288"/>
    <tableColumn id="16" xr3:uid="{00000000-0010-0000-0600-000010000000}" name="% Change 2025 to 5 year average" dataDxfId="287"/>
    <tableColumn id="17" xr3:uid="{00000000-0010-0000-0600-000011000000}" name="% Change 2025 to 2024" dataDxfId="286"/>
    <tableColumn id="18" xr3:uid="{00000000-0010-0000-0600-000012000000}" name="Notes " dataDxfId="285"/>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6" displayName="table_6" ref="A6:O16" totalsRowShown="0" headerRowDxfId="284" dataDxfId="282" headerRowBorderDxfId="283" tableBorderDxfId="281">
  <tableColumns count="15">
    <tableColumn id="1" xr3:uid="{00000000-0010-0000-0700-000001000000}" name="Poultry by category" dataDxfId="280"/>
    <tableColumn id="2" xr3:uid="{00000000-0010-0000-0700-000002000000}" name="2013 (Number)" dataDxfId="279"/>
    <tableColumn id="3" xr3:uid="{00000000-0010-0000-0700-000003000000}" name="2014 (Number)" dataDxfId="278"/>
    <tableColumn id="4" xr3:uid="{00000000-0010-0000-0700-000004000000}" name="2015 (Number)" dataDxfId="277"/>
    <tableColumn id="5" xr3:uid="{00000000-0010-0000-0700-000005000000}" name="2016 (Number)" dataDxfId="276"/>
    <tableColumn id="6" xr3:uid="{00000000-0010-0000-0700-000006000000}" name="2017 (Number)" dataDxfId="275"/>
    <tableColumn id="7" xr3:uid="{00000000-0010-0000-0700-000007000000}" name="2018 (Number)" dataDxfId="274"/>
    <tableColumn id="8" xr3:uid="{00000000-0010-0000-0700-000008000000}" name="2019 (Number)" dataDxfId="273"/>
    <tableColumn id="9" xr3:uid="{00000000-0010-0000-0700-000009000000}" name="2020 (Number)" dataDxfId="272"/>
    <tableColumn id="10" xr3:uid="{00000000-0010-0000-0700-00000A000000}" name="2021 (Number)" dataDxfId="271"/>
    <tableColumn id="11" xr3:uid="{00000000-0010-0000-0700-00000B000000}" name="2022 (Number)" dataDxfId="270"/>
    <tableColumn id="12" xr3:uid="{00000000-0010-0000-0700-00000C000000}" name="2023 (Number)" dataDxfId="269"/>
    <tableColumn id="13" xr3:uid="{00000000-0010-0000-0700-00000D000000}" name="2024 (Number)" dataDxfId="268"/>
    <tableColumn id="14" xr3:uid="{00000000-0010-0000-0700-00000E000000}" name="2025 (Number)" dataDxfId="267"/>
    <tableColumn id="15" xr3:uid="{CC7686BF-BE5B-4282-BFFF-8E5B4B6FF148}" name="% Change 2025 to 2024" dataDxfId="266"/>
  </tableColumns>
  <tableStyleInfo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7" displayName="table_7" ref="A6:R12" totalsRowShown="0" headerRowDxfId="265" dataDxfId="263" headerRowBorderDxfId="264">
  <tableColumns count="18">
    <tableColumn id="1" xr3:uid="{00000000-0010-0000-0800-000001000000}" name="Livestock by category" dataDxfId="262"/>
    <tableColumn id="2" xr3:uid="{00000000-0010-0000-0800-000002000000}" name="2013 (Number)" dataDxfId="261"/>
    <tableColumn id="3" xr3:uid="{00000000-0010-0000-0800-000003000000}" name="2014 (Number)" dataDxfId="260"/>
    <tableColumn id="4" xr3:uid="{00000000-0010-0000-0800-000004000000}" name="2015 (Number)" dataDxfId="259"/>
    <tableColumn id="5" xr3:uid="{00000000-0010-0000-0800-000005000000}" name="2016 (Number)" dataDxfId="258"/>
    <tableColumn id="6" xr3:uid="{00000000-0010-0000-0800-000006000000}" name="2017 (Number)" dataDxfId="257"/>
    <tableColumn id="7" xr3:uid="{00000000-0010-0000-0800-000007000000}" name="2018 (Number)" dataDxfId="256"/>
    <tableColumn id="8" xr3:uid="{00000000-0010-0000-0800-000008000000}" name="2019 (Number)" dataDxfId="255"/>
    <tableColumn id="9" xr3:uid="{00000000-0010-0000-0800-000009000000}" name="2020 (Number)" dataDxfId="254"/>
    <tableColumn id="10" xr3:uid="{00000000-0010-0000-0800-00000A000000}" name="2021 (Number)" dataDxfId="253"/>
    <tableColumn id="11" xr3:uid="{00000000-0010-0000-0800-00000B000000}" name="2022 (Number)" dataDxfId="252"/>
    <tableColumn id="12" xr3:uid="{00000000-0010-0000-0800-00000C000000}" name="2023 (Number)" dataDxfId="251"/>
    <tableColumn id="13" xr3:uid="{00000000-0010-0000-0800-00000D000000}" name="2024 (Number)" dataDxfId="250"/>
    <tableColumn id="14" xr3:uid="{00000000-0010-0000-0800-00000E000000}" name="2025 (Number)" dataDxfId="249"/>
    <tableColumn id="15" xr3:uid="{00000000-0010-0000-0800-00000F000000}" name="5 year average 2020 to 2024 (Number)" dataDxfId="248"/>
    <tableColumn id="16" xr3:uid="{00000000-0010-0000-0800-000010000000}" name="% Change 2025 to 5 year average" dataDxfId="247"/>
    <tableColumn id="17" xr3:uid="{00000000-0010-0000-0800-000011000000}" name="% Change 2025 to 2024" dataDxfId="246"/>
    <tableColumn id="18" xr3:uid="{00000000-0010-0000-0800-000012000000}" name="Notes " dataDxfId="245"/>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8" displayName="table_8" ref="A6:R37" totalsRowShown="0" headerRowDxfId="244" dataDxfId="242" headerRowBorderDxfId="243">
  <tableColumns count="18">
    <tableColumn id="1" xr3:uid="{00000000-0010-0000-0900-000001000000}" name="Occupiers and employees by category" dataDxfId="241"/>
    <tableColumn id="2" xr3:uid="{00000000-0010-0000-0900-000002000000}" name="2013 (Number)" dataDxfId="240"/>
    <tableColumn id="3" xr3:uid="{00000000-0010-0000-0900-000003000000}" name="2014 (Number)" dataDxfId="239"/>
    <tableColumn id="4" xr3:uid="{00000000-0010-0000-0900-000004000000}" name="2015 (Number)" dataDxfId="238"/>
    <tableColumn id="5" xr3:uid="{00000000-0010-0000-0900-000005000000}" name="2016 (Number)" dataDxfId="237"/>
    <tableColumn id="6" xr3:uid="{00000000-0010-0000-0900-000006000000}" name="2017 (Number)" dataDxfId="236"/>
    <tableColumn id="7" xr3:uid="{00000000-0010-0000-0900-000007000000}" name="2018 (Number)" dataDxfId="235"/>
    <tableColumn id="8" xr3:uid="{00000000-0010-0000-0900-000008000000}" name="2019 (Number)" dataDxfId="234"/>
    <tableColumn id="9" xr3:uid="{00000000-0010-0000-0900-000009000000}" name="2020 (Number)" dataDxfId="233"/>
    <tableColumn id="10" xr3:uid="{00000000-0010-0000-0900-00000A000000}" name="2021 (Number)" dataDxfId="232"/>
    <tableColumn id="11" xr3:uid="{00000000-0010-0000-0900-00000B000000}" name="2022 (Number)" dataDxfId="231"/>
    <tableColumn id="12" xr3:uid="{00000000-0010-0000-0900-00000C000000}" name="2023 (Number)" dataDxfId="230"/>
    <tableColumn id="13" xr3:uid="{00000000-0010-0000-0900-00000D000000}" name="2024 (Number)" dataDxfId="229"/>
    <tableColumn id="14" xr3:uid="{00000000-0010-0000-0900-00000E000000}" name="2025 (Number)" dataDxfId="228"/>
    <tableColumn id="15" xr3:uid="{00000000-0010-0000-0900-00000F000000}" name="5 year average 2020 to 2024 (Number)" dataDxfId="227"/>
    <tableColumn id="16" xr3:uid="{00000000-0010-0000-0900-000010000000}" name="% Change 2025 to 5 year average" dataDxfId="226"/>
    <tableColumn id="17" xr3:uid="{00000000-0010-0000-0900-000011000000}" name="% Change 2025 to 2024" dataDxfId="225"/>
    <tableColumn id="18" xr3:uid="{00000000-0010-0000-0900-000012000000}" name="Notes " dataDxfId="224"/>
  </tableColumns>
  <tableStyleInfo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9" displayName="table_9" ref="A6:E10" headerRowDxfId="223" dataDxfId="221" totalsRowDxfId="220" headerRowBorderDxfId="222">
  <tableColumns count="5">
    <tableColumn id="1" xr3:uid="{00000000-0010-0000-0A00-000001000000}" name="Occupier working time" totalsRowLabel="Total working occupiers" dataDxfId="219"/>
    <tableColumn id="2" xr3:uid="{00000000-0010-0000-0A00-000002000000}" name="Female (Number)" dataDxfId="218"/>
    <tableColumn id="3" xr3:uid="{00000000-0010-0000-0A00-000003000000}" name="Male (Number)" dataDxfId="217"/>
    <tableColumn id="4" xr3:uid="{00000000-0010-0000-0A00-000004000000}" name="Prefer not to say (Number)" dataDxfId="216"/>
    <tableColumn id="5" xr3:uid="{00000000-0010-0000-0A00-000005000000}" name="Total (Number)" dataDxfId="215"/>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10" displayName="table_10" ref="A6:O11" totalsRowShown="0" headerRowBorderDxfId="214">
  <tableColumns count="15">
    <tableColumn id="1" xr3:uid="{00000000-0010-0000-0B00-000001000000}" name="Occupier working time" dataDxfId="213"/>
    <tableColumn id="2" xr3:uid="{00000000-0010-0000-0B00-000002000000}" name="Female Under 25 (Number)" dataDxfId="212"/>
    <tableColumn id="3" xr3:uid="{00000000-0010-0000-0B00-000003000000}" name="Male Under 25 (Number)" dataDxfId="211"/>
    <tableColumn id="4" xr3:uid="{00000000-0010-0000-0B00-000004000000}" name="Female 25 to 34 (Number)" dataDxfId="210"/>
    <tableColumn id="5" xr3:uid="{00000000-0010-0000-0B00-000005000000}" name="Male 25 to 34 (Number)" dataDxfId="209"/>
    <tableColumn id="6" xr3:uid="{00000000-0010-0000-0B00-000006000000}" name="Female 35 to 44 (Number)" dataDxfId="208"/>
    <tableColumn id="7" xr3:uid="{00000000-0010-0000-0B00-000007000000}" name="Male 35 to 44 (Number)" dataDxfId="207"/>
    <tableColumn id="8" xr3:uid="{00000000-0010-0000-0B00-000008000000}" name="Female 45 to 54 (Number)" dataDxfId="206"/>
    <tableColumn id="9" xr3:uid="{00000000-0010-0000-0B00-000009000000}" name="Male 45 to 54 (Number)" dataDxfId="205"/>
    <tableColumn id="10" xr3:uid="{00000000-0010-0000-0B00-00000A000000}" name="Female 55 to 64 (Number)" dataDxfId="204"/>
    <tableColumn id="11" xr3:uid="{00000000-0010-0000-0B00-00000B000000}" name="Male 55 to 64 (Number)" dataDxfId="203"/>
    <tableColumn id="12" xr3:uid="{00000000-0010-0000-0B00-00000C000000}" name="Female Over 64 (Number)" dataDxfId="202"/>
    <tableColumn id="13" xr3:uid="{00000000-0010-0000-0B00-00000D000000}" name="Male Over 64 (Number)" dataDxfId="201"/>
    <tableColumn id="14" xr3:uid="{00000000-0010-0000-0B00-00000E000000}" name="Female total (Number)" dataDxfId="200"/>
    <tableColumn id="15" xr3:uid="{00000000-0010-0000-0B00-00000F000000}" name="Male total (Number)" dataDxfId="199"/>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11" displayName="table_11" ref="A6:C12" totalsRowShown="0" headerRowDxfId="198" dataDxfId="196" headerRowBorderDxfId="197">
  <tableColumns count="3">
    <tableColumn id="1" xr3:uid="{00000000-0010-0000-0C00-000001000000}" name="Legal responsibility" dataDxfId="195"/>
    <tableColumn id="2" xr3:uid="{00000000-0010-0000-0C00-000002000000}" name="Holdings (Number)" dataDxfId="194"/>
    <tableColumn id="3" xr3:uid="{00000000-0010-0000-0C00-000003000000}" name="Area of holdings (Hectares)" dataDxfId="193"/>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12" displayName="table_12" ref="A6:Q10" totalsRowShown="0" headerRowDxfId="192" headerRowBorderDxfId="191">
  <tableColumns count="17">
    <tableColumn id="1" xr3:uid="{00000000-0010-0000-0D00-000001000000}" name="Area owned or rented" dataDxfId="190"/>
    <tableColumn id="2" xr3:uid="{00000000-0010-0000-0D00-000002000000}" name="2013 (Hectares and %)" dataDxfId="189"/>
    <tableColumn id="3" xr3:uid="{00000000-0010-0000-0D00-000003000000}" name="2014 (Hectares and %)" dataDxfId="188"/>
    <tableColumn id="4" xr3:uid="{00000000-0010-0000-0D00-000004000000}" name="2015 (Hectares and %)" dataDxfId="187"/>
    <tableColumn id="5" xr3:uid="{00000000-0010-0000-0D00-000005000000}" name="2016 (Hectares and %)" dataDxfId="186"/>
    <tableColumn id="6" xr3:uid="{00000000-0010-0000-0D00-000006000000}" name="2017 (Hectares and %)" dataDxfId="185"/>
    <tableColumn id="7" xr3:uid="{00000000-0010-0000-0D00-000007000000}" name="2018 (Hectares and %)" dataDxfId="184"/>
    <tableColumn id="8" xr3:uid="{00000000-0010-0000-0D00-000008000000}" name="2019 (Hectares and %)" dataDxfId="183"/>
    <tableColumn id="9" xr3:uid="{00000000-0010-0000-0D00-000009000000}" name="2020 (Hectares and %)" dataDxfId="182"/>
    <tableColumn id="10" xr3:uid="{00000000-0010-0000-0D00-00000A000000}" name="2021 (Hectares and %)" dataDxfId="181"/>
    <tableColumn id="11" xr3:uid="{00000000-0010-0000-0D00-00000B000000}" name="2022 (Hectares and %)" dataDxfId="180"/>
    <tableColumn id="12" xr3:uid="{00000000-0010-0000-0D00-00000C000000}" name="2023 (Hectares and %)" dataDxfId="179"/>
    <tableColumn id="13" xr3:uid="{00000000-0010-0000-0D00-00000D000000}" name="2024 (Hectares and %)" dataDxfId="178"/>
    <tableColumn id="14" xr3:uid="{00000000-0010-0000-0D00-00000E000000}" name="2025 (Hectares and %)" dataDxfId="177"/>
    <tableColumn id="15" xr3:uid="{00000000-0010-0000-0D00-00000F000000}" name="5 year average 2020 to 2024 (Hectares and %)" dataDxfId="176"/>
    <tableColumn id="16" xr3:uid="{00000000-0010-0000-0D00-000010000000}" name="% Change 2025 to 5 year average" dataDxfId="175"/>
    <tableColumn id="17" xr3:uid="{00000000-0010-0000-0D00-000011000000}" name="% Change 2025 to 2024" dataDxfId="174"/>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_13" displayName="table_13" ref="A6:F18" totalsRowShown="0" headerRowBorderDxfId="173">
  <tableColumns count="6">
    <tableColumn id="1" xr3:uid="{00000000-0010-0000-0E00-000001000000}" name="Main farm type" dataDxfId="172"/>
    <tableColumn id="2" xr3:uid="{00000000-0010-0000-0E00-000002000000}" name="Holdings (Number)" dataDxfId="171"/>
    <tableColumn id="3" xr3:uid="{00000000-0010-0000-0E00-000003000000}" name="Area (Hectares)" dataDxfId="170"/>
    <tableColumn id="4" xr3:uid="{00000000-0010-0000-0E00-000004000000}" name="Total from Standard Outputs (£)" dataDxfId="169"/>
    <tableColumn id="5" xr3:uid="{00000000-0010-0000-0E00-000005000000}" name="Average standard output per holding (£)" dataDxfId="168"/>
    <tableColumn id="6" xr3:uid="{00000000-0010-0000-0E00-000006000000}" name="Notes " dataDxfId="167"/>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_14" displayName="table_14" ref="A6:E36" totalsRowShown="0" headerRowDxfId="166" headerRowBorderDxfId="165">
  <tableColumns count="5">
    <tableColumn id="1" xr3:uid="{00000000-0010-0000-0F00-000001000000}" name="Agricultural land use by category" dataDxfId="164"/>
    <tableColumn id="2" xr3:uid="{00000000-0010-0000-0F00-000002000000}" name="LFA (Hectares)" dataDxfId="163"/>
    <tableColumn id="3" xr3:uid="{00000000-0010-0000-0F00-000003000000}" name="Non-LFA (Hectares)" dataDxfId="162"/>
    <tableColumn id="4" xr3:uid="{00000000-0010-0000-0F00-000004000000}" name="Total (Hectares)" dataDxfId="161"/>
    <tableColumn id="5" xr3:uid="{00000000-0010-0000-0F00-000005000000}" name="Notes " dataDxfId="160"/>
  </tableColumns>
  <tableStyleInfo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_15" displayName="table_15" ref="A6:Q32" totalsRowCount="1" headerRowBorderDxfId="159">
  <tableColumns count="17">
    <tableColumn id="1" xr3:uid="{00000000-0010-0000-1000-000001000000}" name="Land use by category" totalsRowDxfId="158"/>
    <tableColumn id="2" xr3:uid="{00000000-0010-0000-1000-000002000000}" name="North West Shetland (Holdings)" dataDxfId="157" totalsRowDxfId="156"/>
    <tableColumn id="3" xr3:uid="{00000000-0010-0000-1000-000003000000}" name="North West Orkney (Holdings)" dataDxfId="155" totalsRowDxfId="154"/>
    <tableColumn id="4" xr3:uid="{00000000-0010-0000-1000-000004000000}" name="North West Na h-Eileanan Siar (Holdings)" dataDxfId="153" totalsRowDxfId="152"/>
    <tableColumn id="5" xr3:uid="{00000000-0010-0000-1000-000005000000}" name="North West Highland (Holdings)" dataDxfId="151" totalsRowDxfId="150"/>
    <tableColumn id="6" xr3:uid="{00000000-0010-0000-1000-000006000000}" name="North East Grampian (Holdings)" dataDxfId="149" totalsRowDxfId="148"/>
    <tableColumn id="7" xr3:uid="{00000000-0010-0000-1000-000007000000}" name="South East Tayside (Holdings)" dataDxfId="147" totalsRowDxfId="146"/>
    <tableColumn id="8" xr3:uid="{00000000-0010-0000-1000-000008000000}" name="South East Fife (Holdings)" dataDxfId="145" totalsRowDxfId="144"/>
    <tableColumn id="9" xr3:uid="{00000000-0010-0000-1000-000009000000}" name="South East Lothian (Holdings)" dataDxfId="143" totalsRowDxfId="142"/>
    <tableColumn id="10" xr3:uid="{00000000-0010-0000-1000-00000A000000}" name="South East Scottish Borders (Holdings)" dataDxfId="141" totalsRowDxfId="140"/>
    <tableColumn id="11" xr3:uid="{00000000-0010-0000-1000-00000B000000}" name="South West East Central (Holdings)" dataDxfId="139" totalsRowDxfId="138"/>
    <tableColumn id="12" xr3:uid="{00000000-0010-0000-1000-00000C000000}" name="South West Argyll &amp; Bute (Holdings)" dataDxfId="137" totalsRowDxfId="136"/>
    <tableColumn id="13" xr3:uid="{00000000-0010-0000-1000-00000D000000}" name="South West Clyde Valley (Holdings)" dataDxfId="135" totalsRowDxfId="134"/>
    <tableColumn id="14" xr3:uid="{00000000-0010-0000-1000-00000E000000}" name="South West Ayrshire (Holdings)" dataDxfId="133" totalsRowDxfId="132"/>
    <tableColumn id="15" xr3:uid="{00000000-0010-0000-1000-00000F000000}" name="South West Dumfries &amp; Galloway (Holdings)" dataDxfId="131" totalsRowDxfId="130"/>
    <tableColumn id="16" xr3:uid="{00000000-0010-0000-1000-000010000000}" name="Scotland total (Holdings)" dataDxfId="129" totalsRowDxfId="128"/>
    <tableColumn id="17" xr3:uid="{00000000-0010-0000-1000-000011000000}" name="Notes " dataDxfId="127" totalsRowDxfId="126"/>
  </tableColumns>
  <tableStyleInfo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_16" displayName="table_16" ref="A6:Q35" totalsRowCount="1" headerRowDxfId="125" headerRowBorderDxfId="124">
  <tableColumns count="17">
    <tableColumn id="1" xr3:uid="{00000000-0010-0000-1100-000001000000}" name="Land use by category" dataDxfId="123"/>
    <tableColumn id="2" xr3:uid="{00000000-0010-0000-1100-000002000000}" name="North West Shetland (Hectares)" dataDxfId="122" totalsRowDxfId="121"/>
    <tableColumn id="3" xr3:uid="{00000000-0010-0000-1100-000003000000}" name="North West Orkney (Hectares)" dataDxfId="120" totalsRowDxfId="119"/>
    <tableColumn id="4" xr3:uid="{00000000-0010-0000-1100-000004000000}" name="North West Na h-Eileanan Siar (Hectares)" dataDxfId="118" totalsRowDxfId="117"/>
    <tableColumn id="5" xr3:uid="{00000000-0010-0000-1100-000005000000}" name="North West Highland (Hectares)" dataDxfId="116" totalsRowDxfId="115"/>
    <tableColumn id="6" xr3:uid="{00000000-0010-0000-1100-000006000000}" name="North East Grampian (Hectares)" dataDxfId="114" totalsRowDxfId="113"/>
    <tableColumn id="7" xr3:uid="{00000000-0010-0000-1100-000007000000}" name="South East Tayside (Hectares)" dataDxfId="112" totalsRowDxfId="111"/>
    <tableColumn id="8" xr3:uid="{00000000-0010-0000-1100-000008000000}" name="South East Fife (Hectares)" dataDxfId="110" totalsRowDxfId="109"/>
    <tableColumn id="9" xr3:uid="{00000000-0010-0000-1100-000009000000}" name="South East Lothian (Hectares)" dataDxfId="108" totalsRowDxfId="107"/>
    <tableColumn id="10" xr3:uid="{00000000-0010-0000-1100-00000A000000}" name="South East Scottish Borders (Hectares)" dataDxfId="106" totalsRowDxfId="105"/>
    <tableColumn id="11" xr3:uid="{00000000-0010-0000-1100-00000B000000}" name="South West East Central (Hectares)" dataDxfId="104" totalsRowDxfId="103"/>
    <tableColumn id="12" xr3:uid="{00000000-0010-0000-1100-00000C000000}" name="South West Argyll &amp; Bute (Hectares)" dataDxfId="102" totalsRowDxfId="101"/>
    <tableColumn id="13" xr3:uid="{00000000-0010-0000-1100-00000D000000}" name="South West Clyde Valley (Hectares)" dataDxfId="100" totalsRowDxfId="99"/>
    <tableColumn id="14" xr3:uid="{00000000-0010-0000-1100-00000E000000}" name="South West Ayrshire (Hectares)" dataDxfId="98" totalsRowDxfId="97"/>
    <tableColumn id="15" xr3:uid="{00000000-0010-0000-1100-00000F000000}" name="South West Dumfries &amp; Galloway (Hectares)" dataDxfId="96" totalsRowDxfId="95"/>
    <tableColumn id="16" xr3:uid="{00000000-0010-0000-1100-000010000000}" name="Scotland total (Hectares)" dataDxfId="94" totalsRowDxfId="93"/>
    <tableColumn id="17" xr3:uid="{00000000-0010-0000-1100-000011000000}" name="Notes " dataDxfId="92" totalsRowDxfId="91"/>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_17" displayName="table_17" ref="A6:Q42" totalsRowShown="0" headerRowBorderDxfId="90" tableBorderDxfId="89">
  <tableColumns count="17">
    <tableColumn id="1" xr3:uid="{00000000-0010-0000-1200-000001000000}" name="Livestock by category" dataDxfId="88"/>
    <tableColumn id="2" xr3:uid="{00000000-0010-0000-1200-000002000000}" name="North West Shetland (Holdings)" dataDxfId="87"/>
    <tableColumn id="3" xr3:uid="{00000000-0010-0000-1200-000003000000}" name="North West Orkney (Holdings)" dataDxfId="86"/>
    <tableColumn id="4" xr3:uid="{00000000-0010-0000-1200-000004000000}" name="North West Na h-Eileanan Siar (Holdings)" dataDxfId="85"/>
    <tableColumn id="5" xr3:uid="{00000000-0010-0000-1200-000005000000}" name="North West Highland (Holdings)" dataDxfId="84"/>
    <tableColumn id="6" xr3:uid="{00000000-0010-0000-1200-000006000000}" name="North East Grampian (Holdings)" dataDxfId="83"/>
    <tableColumn id="7" xr3:uid="{00000000-0010-0000-1200-000007000000}" name="South East Tayside (Holdings)" dataDxfId="82"/>
    <tableColumn id="8" xr3:uid="{00000000-0010-0000-1200-000008000000}" name="South East Fife (Holdings)" dataDxfId="81"/>
    <tableColumn id="9" xr3:uid="{00000000-0010-0000-1200-000009000000}" name="South East Lothian (Holdings)" dataDxfId="80"/>
    <tableColumn id="10" xr3:uid="{00000000-0010-0000-1200-00000A000000}" name="South East Scottish Borders (Holdings)" dataDxfId="79"/>
    <tableColumn id="11" xr3:uid="{00000000-0010-0000-1200-00000B000000}" name="South West East Central (Holdings)" dataDxfId="78"/>
    <tableColumn id="12" xr3:uid="{00000000-0010-0000-1200-00000C000000}" name="South West Argyll &amp; Bute (Holdings)" dataDxfId="77"/>
    <tableColumn id="13" xr3:uid="{00000000-0010-0000-1200-00000D000000}" name="South West Clyde Valley (Holdings)" dataDxfId="76"/>
    <tableColumn id="14" xr3:uid="{00000000-0010-0000-1200-00000E000000}" name="South West Ayrshire (Holdings)" dataDxfId="75"/>
    <tableColumn id="15" xr3:uid="{00000000-0010-0000-1200-00000F000000}" name="South West Dumfries &amp; Galloway (Holdings)" dataDxfId="74"/>
    <tableColumn id="16" xr3:uid="{00000000-0010-0000-1200-000010000000}" name="Scotland total (Holdings)" dataDxfId="73"/>
    <tableColumn id="17" xr3:uid="{00000000-0010-0000-1200-000011000000}" name="Notes " dataDxfId="72"/>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_18" displayName="table_18" ref="A6:Q41" totalsRowShown="0" headerRowDxfId="71" headerRowBorderDxfId="70" tableBorderDxfId="69">
  <tableColumns count="17">
    <tableColumn id="1" xr3:uid="{00000000-0010-0000-1300-000001000000}" name="Livestock by category" dataDxfId="68"/>
    <tableColumn id="2" xr3:uid="{00000000-0010-0000-1300-000002000000}" name="North West Shetland (Number)" dataDxfId="67"/>
    <tableColumn id="3" xr3:uid="{00000000-0010-0000-1300-000003000000}" name="North West Orkney (Number)" dataDxfId="66"/>
    <tableColumn id="4" xr3:uid="{00000000-0010-0000-1300-000004000000}" name="North West Na h-Eileanan Siar (Number)" dataDxfId="65"/>
    <tableColumn id="5" xr3:uid="{00000000-0010-0000-1300-000005000000}" name="North West Highland (Number)" dataDxfId="64"/>
    <tableColumn id="6" xr3:uid="{00000000-0010-0000-1300-000006000000}" name="North East Grampian (Number)" dataDxfId="63"/>
    <tableColumn id="7" xr3:uid="{00000000-0010-0000-1300-000007000000}" name="South East Tayside (Number)" dataDxfId="62"/>
    <tableColumn id="8" xr3:uid="{00000000-0010-0000-1300-000008000000}" name="South East Fife (Number)" dataDxfId="61"/>
    <tableColumn id="9" xr3:uid="{00000000-0010-0000-1300-000009000000}" name="South East Lothian (Number)" dataDxfId="60"/>
    <tableColumn id="10" xr3:uid="{00000000-0010-0000-1300-00000A000000}" name="South East Scottish Borders (Number)" dataDxfId="59"/>
    <tableColumn id="11" xr3:uid="{00000000-0010-0000-1300-00000B000000}" name="South West East Central (Number)" dataDxfId="58"/>
    <tableColumn id="12" xr3:uid="{00000000-0010-0000-1300-00000C000000}" name="South West Argyll &amp; Bute (Number)" dataDxfId="57"/>
    <tableColumn id="13" xr3:uid="{00000000-0010-0000-1300-00000D000000}" name="South West Clyde Valley (Number)" dataDxfId="56"/>
    <tableColumn id="14" xr3:uid="{00000000-0010-0000-1300-00000E000000}" name="South West Ayrshire (Number)" dataDxfId="55"/>
    <tableColumn id="15" xr3:uid="{00000000-0010-0000-1300-00000F000000}" name="South West Dumfries &amp; Galloway (Number)" dataDxfId="54"/>
    <tableColumn id="16" xr3:uid="{00000000-0010-0000-1300-000010000000}" name="Scotland total (Number)" dataDxfId="53"/>
    <tableColumn id="17" xr3:uid="{00000000-0010-0000-1300-000011000000}" name="Notes " dataDxfId="52"/>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_19" displayName="table_19" ref="A6:P31" totalsRowShown="0" headerRowBorderDxfId="51">
  <tableColumns count="16">
    <tableColumn id="1" xr3:uid="{00000000-0010-0000-1400-000001000000}" name="Occupiers and employees by category" dataDxfId="50"/>
    <tableColumn id="2" xr3:uid="{00000000-0010-0000-1400-000002000000}" name="North West Shetland (Holdings)" dataDxfId="49"/>
    <tableColumn id="3" xr3:uid="{00000000-0010-0000-1400-000003000000}" name="North West Orkney (Holdings)" dataDxfId="48"/>
    <tableColumn id="4" xr3:uid="{00000000-0010-0000-1400-000004000000}" name="North West Na h-Eileanan Siar (Holdings)" dataDxfId="47"/>
    <tableColumn id="5" xr3:uid="{00000000-0010-0000-1400-000005000000}" name="North West Highland (Holdings)" dataDxfId="46"/>
    <tableColumn id="6" xr3:uid="{00000000-0010-0000-1400-000006000000}" name="North East Grampian (Holdings)" dataDxfId="45"/>
    <tableColumn id="7" xr3:uid="{00000000-0010-0000-1400-000007000000}" name="South East Tayside (Holdings)" dataDxfId="44"/>
    <tableColumn id="8" xr3:uid="{00000000-0010-0000-1400-000008000000}" name="South East Fife (Holdings)" dataDxfId="43"/>
    <tableColumn id="9" xr3:uid="{00000000-0010-0000-1400-000009000000}" name="South East Lothian (Holdings)" dataDxfId="42"/>
    <tableColumn id="10" xr3:uid="{00000000-0010-0000-1400-00000A000000}" name="South East Scottish Borders (Holdings)" dataDxfId="41"/>
    <tableColumn id="11" xr3:uid="{00000000-0010-0000-1400-00000B000000}" name="South West East Central (Holdings)" dataDxfId="40"/>
    <tableColumn id="12" xr3:uid="{00000000-0010-0000-1400-00000C000000}" name="South West Argyll &amp; Bute (Holdings)" dataDxfId="39"/>
    <tableColumn id="13" xr3:uid="{00000000-0010-0000-1400-00000D000000}" name="South West Clyde Valley (Holdings)" dataDxfId="38"/>
    <tableColumn id="14" xr3:uid="{00000000-0010-0000-1400-00000E000000}" name="South West Ayrshire (Holdings)" dataDxfId="37"/>
    <tableColumn id="15" xr3:uid="{00000000-0010-0000-1400-00000F000000}" name="South West Dumfries &amp; Galloway (Holdings)" dataDxfId="36"/>
    <tableColumn id="16" xr3:uid="{00000000-0010-0000-1400-000010000000}" name="Scotland total (Holdings)" dataDxfId="35"/>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_20" displayName="table_20" ref="A6:P30" totalsRowShown="0" headerRowDxfId="34" headerRowBorderDxfId="33" tableBorderDxfId="32">
  <tableColumns count="16">
    <tableColumn id="1" xr3:uid="{00000000-0010-0000-1500-000001000000}" name="Occupiers and employees by category" dataDxfId="31" totalsRowDxfId="30"/>
    <tableColumn id="2" xr3:uid="{00000000-0010-0000-1500-000002000000}" name="North West Shetland (Number)" dataDxfId="29" totalsRowDxfId="28"/>
    <tableColumn id="3" xr3:uid="{00000000-0010-0000-1500-000003000000}" name="North West Orkney (Number)" dataDxfId="27" totalsRowDxfId="26"/>
    <tableColumn id="4" xr3:uid="{00000000-0010-0000-1500-000004000000}" name="North West Na h-Eileanan Siar (Number)" dataDxfId="25" totalsRowDxfId="24"/>
    <tableColumn id="5" xr3:uid="{00000000-0010-0000-1500-000005000000}" name="North West Highland (Number)" dataDxfId="23" totalsRowDxfId="22"/>
    <tableColumn id="6" xr3:uid="{00000000-0010-0000-1500-000006000000}" name="North East Grampian (Number)" dataDxfId="21" totalsRowDxfId="20"/>
    <tableColumn id="7" xr3:uid="{00000000-0010-0000-1500-000007000000}" name="South East Tayside (Number)" dataDxfId="19" totalsRowDxfId="18"/>
    <tableColumn id="8" xr3:uid="{00000000-0010-0000-1500-000008000000}" name="South East Fife (Number)" dataDxfId="17" totalsRowDxfId="16"/>
    <tableColumn id="9" xr3:uid="{00000000-0010-0000-1500-000009000000}" name="South East Lothian (Number)" dataDxfId="15" totalsRowDxfId="14"/>
    <tableColumn id="10" xr3:uid="{00000000-0010-0000-1500-00000A000000}" name="South East Scottish Borders (Number)" dataDxfId="13" totalsRowDxfId="12"/>
    <tableColumn id="11" xr3:uid="{00000000-0010-0000-1500-00000B000000}" name="South West East Central (Number)" dataDxfId="11" totalsRowDxfId="10"/>
    <tableColumn id="12" xr3:uid="{00000000-0010-0000-1500-00000C000000}" name="South West Argyll &amp; Bute (Number)" dataDxfId="9" totalsRowDxfId="8"/>
    <tableColumn id="13" xr3:uid="{00000000-0010-0000-1500-00000D000000}" name="South West Clyde Valley (Number)" dataDxfId="7" totalsRowDxfId="6"/>
    <tableColumn id="14" xr3:uid="{00000000-0010-0000-1500-00000E000000}" name="South West Ayrshire (Number)" dataDxfId="5" totalsRowDxfId="4"/>
    <tableColumn id="15" xr3:uid="{00000000-0010-0000-1500-00000F000000}" name="South West Dumfries &amp; Galloway (Number)" dataDxfId="3" totalsRowDxfId="2"/>
    <tableColumn id="16" xr3:uid="{00000000-0010-0000-1500-000010000000}" name="Scotland total (Number)" dataDxfId="1" totalsRow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gov.scot/publications/results-from-the-scottish-agricultural-census-june-2025" TargetMode="External"/><Relationship Id="rId2" Type="http://schemas.openxmlformats.org/officeDocument/2006/relationships/hyperlink" Target="https://www.gov.uk/government/statistics/agricultural-land-use-in-england/agricultural-land-use-in-england-at-1-june-2025" TargetMode="External"/><Relationship Id="rId1" Type="http://schemas.openxmlformats.org/officeDocument/2006/relationships/hyperlink" Target="mailto:agric.stats@gov.scot" TargetMode="External"/><Relationship Id="rId5" Type="http://schemas.openxmlformats.org/officeDocument/2006/relationships/hyperlink" Target="https://www.daera-ni.gov.uk/" TargetMode="External"/><Relationship Id="rId4" Type="http://schemas.openxmlformats.org/officeDocument/2006/relationships/hyperlink" Target="https://www.gov.wales/survey-agriculture-and-horticulture-june-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gov.scot/publications/results-from-the-scottish-agricultural-census-june-2025/"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gov.scot/publications/results-from-the-scottish-agricultural-census-june-2025/"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www.gov.scot/publications/results-from-the-scottish-agricultural-census-june-2025/"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https://www.gov.scot/publications/results-from-the-scottish-agricultural-census-june-2025/" TargetMode="Externa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hyperlink" Target="https://www.gov.scot/publications/results-from-the-scottish-agricultural-census-june-2025/" TargetMode="Externa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hyperlink" Target="https://www.gov.scot/publications/results-from-the-scottish-agricultural-census-june-2025/" TargetMode="Externa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hyperlink" Target="https://www.gov.scot/publications/results-from-the-scottish-agricultural-census-june-2025/"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hyperlink" Target="https://www.gov.scot/publications/results-from-the-scottish-agricultural-census-june-2025/"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hyperlink" Target="https://www.gov.scot/publications/results-from-the-scottish-agricultural-census-june-2025/"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hyperlink" Target="https://www.gov.scot/publications/results-from-the-scottish-agricultural-census-june-2025/" TargetMode="External"/></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hyperlink" Target="https://www.gov.scot/publications/results-from-the-scottish-agricultural-census-june-2025/" TargetMode="Externa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hyperlink" Target="https://www.gov.scot/publications/results-from-the-scottish-agricultural-census-june-2025/" TargetMode="External"/></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hyperlink" Target="https://www.gov.scot/publications/results-from-the-scottish-agricultural-census-june-2025/" TargetMode="External"/></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hyperlink" Target="https://www.gov.scot/publications/results-from-the-scottish-agricultural-census-june-2025/"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hyperlink" Target="https://www.gov.scot/publications/results-from-the-scottish-agricultural-census-june-2025/" TargetMode="External"/></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hyperlink" Target="https://www.gov.scot/publications/results-from-the-scottish-agricultural-census-june-2025/" TargetMode="External"/></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hyperlink" Target="https://www.gov.scot/publications/results-from-the-scottish-agricultural-census-june-2025/" TargetMode="External"/></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hyperlink" Target="https://www.gov.scot/publications/results-from-the-scottish-agricultural-census-june-2025/" TargetMode="External"/></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hyperlink" Target="https://www.gov.scot/publications/results-from-the-scottish-agricultural-census-june-2025/" TargetMode="External"/></Relationships>
</file>

<file path=xl/worksheets/_rels/sheet23.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hyperlink" Target="https://www.gov.scot/publications/results-from-the-scottish-agricultural-census-june-2025/"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gov.scot/publications/results-from-the-scottish-agricultural-census-june-2025/"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gov.scot/publications/results-from-the-scottish-agricultural-census-june-2025/"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gov.scot/publications/results-from-the-scottish-agricultural-census-june-2025/"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gov.scot/publications/results-from-the-scottish-agricultural-census-june-2025/"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gov.scot/publications/results-from-the-scottish-agricultural-census-june-2025/"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gov.scot/publications/results-from-the-scottish-agricultural-census-june-2025/"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gov.scot/publications/results-from-the-scottish-agricultural-census-june-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showGridLines="0" tabSelected="1" zoomScaleNormal="100" workbookViewId="0"/>
  </sheetViews>
  <sheetFormatPr defaultColWidth="11.5625" defaultRowHeight="15" x14ac:dyDescent="0.35"/>
  <cols>
    <col min="1" max="1" width="72.6875" customWidth="1"/>
  </cols>
  <sheetData>
    <row r="1" spans="1:4" ht="20.149999999999999" x14ac:dyDescent="0.5">
      <c r="A1" s="100" t="s">
        <v>0</v>
      </c>
    </row>
    <row r="2" spans="1:4" ht="17.600000000000001" x14ac:dyDescent="0.4">
      <c r="A2" s="101" t="s">
        <v>1</v>
      </c>
    </row>
    <row r="3" spans="1:4" ht="34" customHeight="1" x14ac:dyDescent="0.4">
      <c r="A3" s="101" t="s">
        <v>2</v>
      </c>
    </row>
    <row r="4" spans="1:4" ht="30" x14ac:dyDescent="0.35">
      <c r="A4" s="102" t="s">
        <v>3</v>
      </c>
    </row>
    <row r="5" spans="1:4" ht="45" x14ac:dyDescent="0.35">
      <c r="A5" s="102" t="s">
        <v>4</v>
      </c>
    </row>
    <row r="6" spans="1:4" ht="30" x14ac:dyDescent="0.35">
      <c r="A6" s="102" t="s">
        <v>5</v>
      </c>
    </row>
    <row r="7" spans="1:4" ht="30" x14ac:dyDescent="0.35">
      <c r="A7" s="102" t="s">
        <v>6</v>
      </c>
    </row>
    <row r="8" spans="1:4" ht="34" customHeight="1" x14ac:dyDescent="0.4">
      <c r="A8" s="101" t="s">
        <v>7</v>
      </c>
    </row>
    <row r="9" spans="1:4" ht="25" customHeight="1" x14ac:dyDescent="0.35">
      <c r="A9" s="104" t="s">
        <v>8</v>
      </c>
    </row>
    <row r="10" spans="1:4" ht="25" customHeight="1" x14ac:dyDescent="0.35">
      <c r="A10" s="103" t="s">
        <v>9</v>
      </c>
      <c r="B10" s="103"/>
      <c r="D10" s="103"/>
    </row>
    <row r="11" spans="1:4" ht="25" customHeight="1" x14ac:dyDescent="0.35">
      <c r="A11" s="98" t="s">
        <v>10</v>
      </c>
      <c r="B11" s="103"/>
      <c r="D11" s="103"/>
    </row>
    <row r="12" spans="1:4" ht="25" customHeight="1" x14ac:dyDescent="0.35">
      <c r="A12" s="98" t="s">
        <v>11</v>
      </c>
      <c r="B12" s="103"/>
      <c r="D12" s="103"/>
    </row>
    <row r="13" spans="1:4" ht="34" customHeight="1" x14ac:dyDescent="0.4">
      <c r="A13" s="101" t="s">
        <v>12</v>
      </c>
    </row>
    <row r="14" spans="1:4" ht="25" customHeight="1" x14ac:dyDescent="0.35">
      <c r="A14" s="104" t="s">
        <v>13</v>
      </c>
    </row>
    <row r="15" spans="1:4" ht="34" customHeight="1" x14ac:dyDescent="0.4">
      <c r="A15" s="101" t="s">
        <v>14</v>
      </c>
    </row>
    <row r="16" spans="1:4" ht="25" customHeight="1" x14ac:dyDescent="0.35">
      <c r="A16" s="102" t="s">
        <v>15</v>
      </c>
    </row>
    <row r="17" spans="1:1" ht="34" customHeight="1" x14ac:dyDescent="0.4">
      <c r="A17" s="101" t="s">
        <v>16</v>
      </c>
    </row>
    <row r="18" spans="1:1" ht="25" customHeight="1" x14ac:dyDescent="0.35">
      <c r="A18" s="102" t="s">
        <v>15</v>
      </c>
    </row>
    <row r="19" spans="1:1" ht="34" customHeight="1" x14ac:dyDescent="0.4">
      <c r="A19" s="101" t="s">
        <v>17</v>
      </c>
    </row>
    <row r="20" spans="1:1" ht="36.75" customHeight="1" x14ac:dyDescent="0.35">
      <c r="A20" s="105" t="s">
        <v>18</v>
      </c>
    </row>
    <row r="21" spans="1:1" ht="39" customHeight="1" x14ac:dyDescent="0.35">
      <c r="A21" s="105" t="s">
        <v>19</v>
      </c>
    </row>
    <row r="22" spans="1:1" ht="42.75" customHeight="1" x14ac:dyDescent="0.35">
      <c r="A22" s="105" t="s">
        <v>20</v>
      </c>
    </row>
    <row r="23" spans="1:1" ht="25" customHeight="1" x14ac:dyDescent="0.4">
      <c r="A23" s="105" t="s">
        <v>21</v>
      </c>
    </row>
    <row r="24" spans="1:1" ht="36.75" customHeight="1" x14ac:dyDescent="0.35">
      <c r="A24" s="105" t="s">
        <v>22</v>
      </c>
    </row>
    <row r="25" spans="1:1" ht="25" customHeight="1" x14ac:dyDescent="0.4">
      <c r="A25" s="105" t="s">
        <v>23</v>
      </c>
    </row>
    <row r="26" spans="1:1" ht="35.25" customHeight="1" x14ac:dyDescent="0.35">
      <c r="A26" s="105" t="s">
        <v>24</v>
      </c>
    </row>
    <row r="27" spans="1:1" ht="25" customHeight="1" x14ac:dyDescent="0.4">
      <c r="A27" s="105" t="s">
        <v>25</v>
      </c>
    </row>
    <row r="28" spans="1:1" ht="25" customHeight="1" x14ac:dyDescent="0.4">
      <c r="A28" s="105" t="s">
        <v>26</v>
      </c>
    </row>
    <row r="29" spans="1:1" ht="51.75" customHeight="1" x14ac:dyDescent="0.35">
      <c r="A29" s="105" t="s">
        <v>27</v>
      </c>
    </row>
    <row r="30" spans="1:1" ht="25" customHeight="1" x14ac:dyDescent="0.4">
      <c r="A30" s="105" t="s">
        <v>28</v>
      </c>
    </row>
    <row r="31" spans="1:1" ht="25" customHeight="1" x14ac:dyDescent="0.4">
      <c r="A31" s="105" t="s">
        <v>29</v>
      </c>
    </row>
    <row r="32" spans="1:1" ht="25" customHeight="1" x14ac:dyDescent="0.4">
      <c r="A32" s="105" t="s">
        <v>30</v>
      </c>
    </row>
    <row r="33" spans="1:1" ht="26.25" customHeight="1" x14ac:dyDescent="0.4">
      <c r="A33" s="105" t="s">
        <v>31</v>
      </c>
    </row>
    <row r="34" spans="1:1" ht="36.75" customHeight="1" x14ac:dyDescent="0.35">
      <c r="A34" s="105" t="s">
        <v>32</v>
      </c>
    </row>
  </sheetData>
  <hyperlinks>
    <hyperlink ref="A14" r:id="rId1" xr:uid="{00000000-0004-0000-0000-000003000000}"/>
    <hyperlink ref="A10" r:id="rId2" xr:uid="{841AC622-DA2E-4465-B59B-57D8C32C4999}"/>
    <hyperlink ref="A9" r:id="rId3" xr:uid="{17304F7F-BFD8-48F6-8884-CB280AB3514E}"/>
    <hyperlink ref="A11" r:id="rId4" xr:uid="{C113811C-0558-419F-94FB-20057E37C846}"/>
    <hyperlink ref="A12" r:id="rId5" xr:uid="{181627B9-E3D2-4418-BAA1-B418EB8C729E}"/>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showGridLines="0" workbookViewId="0"/>
  </sheetViews>
  <sheetFormatPr defaultColWidth="11.5625" defaultRowHeight="15" x14ac:dyDescent="0.35"/>
  <cols>
    <col min="1" max="1" width="16.6875" customWidth="1"/>
    <col min="2" max="2" width="71.25" style="107" customWidth="1"/>
  </cols>
  <sheetData>
    <row r="1" spans="1:2" ht="20.149999999999999" x14ac:dyDescent="0.5">
      <c r="A1" s="106" t="s">
        <v>33</v>
      </c>
    </row>
    <row r="2" spans="1:2" x14ac:dyDescent="0.35">
      <c r="A2" t="s">
        <v>34</v>
      </c>
    </row>
    <row r="3" spans="1:2" ht="25" customHeight="1" x14ac:dyDescent="0.4">
      <c r="A3" s="2" t="s">
        <v>35</v>
      </c>
      <c r="B3" s="2" t="s">
        <v>36</v>
      </c>
    </row>
    <row r="4" spans="1:2" ht="25" customHeight="1" x14ac:dyDescent="0.35">
      <c r="A4" s="108" t="s">
        <v>37</v>
      </c>
      <c r="B4" s="82" t="s">
        <v>38</v>
      </c>
    </row>
    <row r="5" spans="1:2" ht="25" customHeight="1" x14ac:dyDescent="0.35">
      <c r="A5" s="108" t="s">
        <v>39</v>
      </c>
      <c r="B5" t="s">
        <v>40</v>
      </c>
    </row>
    <row r="6" spans="1:2" ht="25" customHeight="1" x14ac:dyDescent="0.35">
      <c r="A6" s="108" t="s">
        <v>41</v>
      </c>
      <c r="B6" s="82" t="s">
        <v>42</v>
      </c>
    </row>
    <row r="7" spans="1:2" ht="25" customHeight="1" x14ac:dyDescent="0.35">
      <c r="A7" s="108" t="s">
        <v>43</v>
      </c>
      <c r="B7" s="82" t="s">
        <v>44</v>
      </c>
    </row>
    <row r="8" spans="1:2" ht="25" customHeight="1" x14ac:dyDescent="0.35">
      <c r="A8" s="108" t="s">
        <v>45</v>
      </c>
      <c r="B8" s="82" t="s">
        <v>46</v>
      </c>
    </row>
    <row r="9" spans="1:2" ht="25" customHeight="1" x14ac:dyDescent="0.35">
      <c r="A9" s="108" t="s">
        <v>47</v>
      </c>
      <c r="B9" s="82" t="s">
        <v>48</v>
      </c>
    </row>
    <row r="10" spans="1:2" ht="25" customHeight="1" x14ac:dyDescent="0.35">
      <c r="A10" s="109" t="s">
        <v>49</v>
      </c>
      <c r="B10" s="82" t="s">
        <v>50</v>
      </c>
    </row>
    <row r="11" spans="1:2" ht="25" customHeight="1" x14ac:dyDescent="0.35">
      <c r="A11" s="109" t="s">
        <v>51</v>
      </c>
      <c r="B11" s="82" t="s">
        <v>52</v>
      </c>
    </row>
    <row r="12" spans="1:2" ht="25" customHeight="1" x14ac:dyDescent="0.35">
      <c r="A12" s="108" t="s">
        <v>53</v>
      </c>
      <c r="B12" s="82" t="s">
        <v>54</v>
      </c>
    </row>
    <row r="13" spans="1:2" ht="25" customHeight="1" x14ac:dyDescent="0.35">
      <c r="A13" s="108" t="s">
        <v>55</v>
      </c>
      <c r="B13" s="110" t="s">
        <v>56</v>
      </c>
    </row>
    <row r="14" spans="1:2" ht="25" customHeight="1" x14ac:dyDescent="0.35">
      <c r="A14" s="108" t="s">
        <v>57</v>
      </c>
      <c r="B14" s="110" t="s">
        <v>58</v>
      </c>
    </row>
    <row r="15" spans="1:2" ht="25" customHeight="1" x14ac:dyDescent="0.35">
      <c r="A15" s="108" t="s">
        <v>59</v>
      </c>
      <c r="B15" s="110" t="s">
        <v>60</v>
      </c>
    </row>
    <row r="16" spans="1:2" ht="25" customHeight="1" x14ac:dyDescent="0.35">
      <c r="A16" s="108" t="s">
        <v>61</v>
      </c>
      <c r="B16" s="110" t="s">
        <v>62</v>
      </c>
    </row>
    <row r="17" spans="1:2" ht="25" customHeight="1" x14ac:dyDescent="0.35">
      <c r="A17" s="108" t="s">
        <v>63</v>
      </c>
      <c r="B17" s="110" t="s">
        <v>64</v>
      </c>
    </row>
    <row r="18" spans="1:2" ht="25" customHeight="1" x14ac:dyDescent="0.35">
      <c r="A18" s="108" t="s">
        <v>65</v>
      </c>
      <c r="B18" s="110" t="s">
        <v>66</v>
      </c>
    </row>
    <row r="19" spans="1:2" ht="25" customHeight="1" x14ac:dyDescent="0.35">
      <c r="A19" s="108" t="s">
        <v>67</v>
      </c>
      <c r="B19" s="110" t="s">
        <v>68</v>
      </c>
    </row>
    <row r="20" spans="1:2" ht="25" customHeight="1" x14ac:dyDescent="0.35">
      <c r="A20" s="108" t="s">
        <v>69</v>
      </c>
      <c r="B20" s="110" t="s">
        <v>70</v>
      </c>
    </row>
    <row r="21" spans="1:2" ht="25" customHeight="1" x14ac:dyDescent="0.35">
      <c r="A21" s="108" t="s">
        <v>71</v>
      </c>
      <c r="B21" s="110" t="s">
        <v>72</v>
      </c>
    </row>
    <row r="22" spans="1:2" ht="25" customHeight="1" x14ac:dyDescent="0.35">
      <c r="A22" s="108" t="s">
        <v>73</v>
      </c>
      <c r="B22" s="110" t="s">
        <v>74</v>
      </c>
    </row>
    <row r="23" spans="1:2" ht="25" customHeight="1" x14ac:dyDescent="0.35">
      <c r="A23" s="108" t="s">
        <v>75</v>
      </c>
      <c r="B23" s="110" t="s">
        <v>76</v>
      </c>
    </row>
    <row r="24" spans="1:2" ht="25" customHeight="1" x14ac:dyDescent="0.35">
      <c r="A24" s="108" t="s">
        <v>77</v>
      </c>
      <c r="B24" s="110" t="s">
        <v>78</v>
      </c>
    </row>
    <row r="25" spans="1:2" ht="25" customHeight="1" x14ac:dyDescent="0.35">
      <c r="A25" s="103" t="s">
        <v>79</v>
      </c>
      <c r="B25" s="111" t="s">
        <v>80</v>
      </c>
    </row>
    <row r="26" spans="1:2" ht="25" customHeight="1" x14ac:dyDescent="0.35">
      <c r="A26" s="103" t="s">
        <v>81</v>
      </c>
      <c r="B26" s="111" t="s">
        <v>82</v>
      </c>
    </row>
    <row r="27" spans="1:2" ht="25" customHeight="1" x14ac:dyDescent="0.35">
      <c r="A27" s="103" t="s">
        <v>83</v>
      </c>
      <c r="B27" s="111" t="s">
        <v>84</v>
      </c>
    </row>
    <row r="28" spans="1:2" ht="25" customHeight="1" x14ac:dyDescent="0.35">
      <c r="A28" s="103" t="s">
        <v>85</v>
      </c>
      <c r="B28" s="111" t="s">
        <v>86</v>
      </c>
    </row>
    <row r="29" spans="1:2" ht="25" customHeight="1" x14ac:dyDescent="0.35">
      <c r="A29" s="103" t="s">
        <v>87</v>
      </c>
      <c r="B29" s="111" t="s">
        <v>88</v>
      </c>
    </row>
    <row r="30" spans="1:2" ht="25" customHeight="1" x14ac:dyDescent="0.35">
      <c r="A30" s="103" t="s">
        <v>89</v>
      </c>
      <c r="B30" s="111" t="s">
        <v>90</v>
      </c>
    </row>
    <row r="31" spans="1:2" ht="25" customHeight="1" x14ac:dyDescent="0.35">
      <c r="A31" s="103" t="s">
        <v>91</v>
      </c>
      <c r="B31" s="107" t="s">
        <v>92</v>
      </c>
    </row>
  </sheetData>
  <hyperlinks>
    <hyperlink ref="A5" location="Table_1" display="Table 1" xr:uid="{BE8EBC3A-A497-47AE-A95A-A201634E5D89}"/>
    <hyperlink ref="A4" location="Notes" display="Notes" xr:uid="{F87C0D1F-7080-4C73-BA23-10940AF73438}"/>
    <hyperlink ref="A6" location="Table_2" display="Table 2" xr:uid="{1185CE36-8BB6-4A61-AB2F-A4EE1D232357}"/>
    <hyperlink ref="A7" location="Table_3" display="Table 3" xr:uid="{6F8E0220-62FC-4FD8-B3AE-C07A8ECAF45C}"/>
    <hyperlink ref="A8" location="Table_4" display="Table 4" xr:uid="{9020E992-1BB6-4B71-9D68-936556B84A8A}"/>
    <hyperlink ref="A9" location="Table_5" display="Table 5" xr:uid="{C2A120DF-16BD-4F7B-8620-31B0C8EBAC02}"/>
    <hyperlink ref="A10" location="Table_6" display="Table 6" xr:uid="{A173A2A0-B833-410E-9593-A2B37BC39457}"/>
    <hyperlink ref="A11" location="Table_7" display="Table 7" xr:uid="{288F4DF0-3160-4488-91F5-E110F5ED212E}"/>
    <hyperlink ref="A12" location="Table_8" display="Table 8" xr:uid="{9BB422A4-7DBF-437D-B42E-79244570FA65}"/>
    <hyperlink ref="A13" location="Table_9" display="Table 9" xr:uid="{405248F5-35F5-44D0-A235-592A45C66DD9}"/>
    <hyperlink ref="A14" location="Table_10" display="Table 10" xr:uid="{FEA42690-9A7E-4731-9E6D-6F73C5F8BB38}"/>
    <hyperlink ref="A15" location="Table_11" display="Table_11" xr:uid="{784F9908-2BF8-418D-BE87-0A8921DC5455}"/>
    <hyperlink ref="A16" location="Table_12" display="Table 12" xr:uid="{C3090B67-A55F-42BE-9CB2-0A4DC7747E31}"/>
    <hyperlink ref="A17" location="Table_13" display="Table 13" xr:uid="{17FC4BFD-C808-46CF-A0A8-911AC3379310}"/>
    <hyperlink ref="A18" location="Table_14" display="Table 14" xr:uid="{82728F70-D5E6-4ECB-AA54-9C8D89F62652}"/>
    <hyperlink ref="A19" location="Table_15" display="Table 15" xr:uid="{9A0F4FC6-6377-4E6A-8C35-08770C40E6D5}"/>
    <hyperlink ref="A20" location="Table_16" display="Table 16" xr:uid="{B37C802C-29B0-439E-BA22-119A30BAC415}"/>
    <hyperlink ref="A21" location="Table_17" display="Table 17" xr:uid="{67AEAF2F-632C-42AC-8366-174CFC36BB2C}"/>
    <hyperlink ref="A22" location="Table_18" display="Table 18" xr:uid="{9B0F03AE-8A8E-42EE-A01B-A293D139E1AD}"/>
    <hyperlink ref="A23" location="Table_19" display="Table 19" xr:uid="{046DF968-1E65-4121-988C-B994447C24A9}"/>
    <hyperlink ref="A24" location="Table_20" display="Table 20" xr:uid="{4AE49A66-2E7F-4116-9571-2DD48DEF948A}"/>
    <hyperlink ref="A25" location="Table_21!A1" display="Table 21" xr:uid="{7772CC1A-1AC8-4ADB-9FCA-47774A450F06}"/>
    <hyperlink ref="A26" location="Table_22!A1" display="Table 22" xr:uid="{7E70E998-47C5-4427-8194-E9D8818ABB1D}"/>
    <hyperlink ref="A27" location="Table_23!A1" display="Table 23" xr:uid="{544F24F3-3C7D-428D-BD56-A93A09A7D858}"/>
    <hyperlink ref="A28" location="Table_24!A1" display="Table 24" xr:uid="{A5ED367B-B522-4095-849F-44E5274DF0C5}"/>
    <hyperlink ref="A29" location="Table_25!A1" display="Table_25" xr:uid="{9369D95E-5396-4BED-9AD3-7EDEE1D1AE02}"/>
    <hyperlink ref="A30" location="Module_2025_Table_1!A1" display="Module Table 1" xr:uid="{D03719A4-08E7-4542-8CA6-AB79F6DA2D49}"/>
    <hyperlink ref="A31" location="Module_2025_Table_2!A1" display="Module Table 2" xr:uid="{0FE882EC-AA54-44FC-A1C5-6DC41301854C}"/>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showGridLines="0" zoomScaleNormal="100" workbookViewId="0"/>
  </sheetViews>
  <sheetFormatPr defaultColWidth="11.5625" defaultRowHeight="15" x14ac:dyDescent="0.35"/>
  <cols>
    <col min="1" max="1" width="16.6875" customWidth="1"/>
    <col min="2" max="2" width="108.5625" customWidth="1"/>
  </cols>
  <sheetData>
    <row r="1" spans="1:2" ht="20.149999999999999" x14ac:dyDescent="0.5">
      <c r="A1" s="1" t="s">
        <v>37</v>
      </c>
    </row>
    <row r="2" spans="1:2" x14ac:dyDescent="0.35">
      <c r="A2" t="s">
        <v>34</v>
      </c>
    </row>
    <row r="3" spans="1:2" ht="25" customHeight="1" x14ac:dyDescent="0.4">
      <c r="A3" s="2" t="s">
        <v>93</v>
      </c>
      <c r="B3" s="2" t="s">
        <v>94</v>
      </c>
    </row>
    <row r="4" spans="1:2" ht="25" customHeight="1" x14ac:dyDescent="0.35">
      <c r="A4" s="86" t="s">
        <v>95</v>
      </c>
      <c r="B4" s="86" t="s">
        <v>96</v>
      </c>
    </row>
    <row r="5" spans="1:2" ht="35.25" customHeight="1" x14ac:dyDescent="0.35">
      <c r="A5" s="86" t="s">
        <v>97</v>
      </c>
      <c r="B5" s="86" t="s">
        <v>98</v>
      </c>
    </row>
    <row r="6" spans="1:2" ht="25" customHeight="1" x14ac:dyDescent="0.35">
      <c r="A6" s="86" t="s">
        <v>99</v>
      </c>
      <c r="B6" s="86" t="s">
        <v>100</v>
      </c>
    </row>
    <row r="7" spans="1:2" ht="25" customHeight="1" x14ac:dyDescent="0.35">
      <c r="A7" s="86" t="s">
        <v>101</v>
      </c>
      <c r="B7" s="87" t="s">
        <v>102</v>
      </c>
    </row>
    <row r="8" spans="1:2" ht="33.75" customHeight="1" x14ac:dyDescent="0.35">
      <c r="A8" s="86" t="s">
        <v>103</v>
      </c>
      <c r="B8" s="88" t="s">
        <v>104</v>
      </c>
    </row>
    <row r="9" spans="1:2" ht="36.75" customHeight="1" x14ac:dyDescent="0.35">
      <c r="A9" s="86" t="s">
        <v>105</v>
      </c>
      <c r="B9" s="86" t="s">
        <v>106</v>
      </c>
    </row>
    <row r="10" spans="1:2" ht="30.75" customHeight="1" x14ac:dyDescent="0.35">
      <c r="A10" s="86" t="s">
        <v>107</v>
      </c>
      <c r="B10" s="87" t="s">
        <v>108</v>
      </c>
    </row>
    <row r="11" spans="1:2" ht="25" customHeight="1" x14ac:dyDescent="0.35">
      <c r="A11" s="86" t="s">
        <v>109</v>
      </c>
      <c r="B11" s="86" t="s">
        <v>110</v>
      </c>
    </row>
    <row r="12" spans="1:2" ht="56.25" customHeight="1" x14ac:dyDescent="0.35">
      <c r="A12" s="86" t="s">
        <v>111</v>
      </c>
      <c r="B12" s="86" t="s">
        <v>112</v>
      </c>
    </row>
    <row r="13" spans="1:2" ht="36" customHeight="1" x14ac:dyDescent="0.35">
      <c r="A13" s="86" t="s">
        <v>113</v>
      </c>
      <c r="B13" s="86" t="s">
        <v>114</v>
      </c>
    </row>
    <row r="14" spans="1:2" ht="25" customHeight="1" x14ac:dyDescent="0.35">
      <c r="A14" s="86" t="s">
        <v>115</v>
      </c>
      <c r="B14" s="86" t="s">
        <v>116</v>
      </c>
    </row>
    <row r="15" spans="1:2" ht="30" x14ac:dyDescent="0.35">
      <c r="A15" s="86" t="s">
        <v>117</v>
      </c>
      <c r="B15" s="86" t="s">
        <v>118</v>
      </c>
    </row>
    <row r="16" spans="1:2" ht="25" customHeight="1" x14ac:dyDescent="0.35">
      <c r="A16" s="86" t="s">
        <v>119</v>
      </c>
      <c r="B16" s="86" t="s">
        <v>120</v>
      </c>
    </row>
    <row r="17" spans="1:2" ht="30" x14ac:dyDescent="0.35">
      <c r="A17" s="86" t="s">
        <v>121</v>
      </c>
      <c r="B17" s="86" t="s">
        <v>122</v>
      </c>
    </row>
    <row r="18" spans="1:2" ht="37.5" customHeight="1" x14ac:dyDescent="0.35">
      <c r="A18" s="86" t="s">
        <v>123</v>
      </c>
      <c r="B18" s="86" t="s">
        <v>124</v>
      </c>
    </row>
    <row r="19" spans="1:2" ht="36.75" customHeight="1" x14ac:dyDescent="0.35">
      <c r="A19" s="86" t="s">
        <v>125</v>
      </c>
      <c r="B19" s="86" t="s">
        <v>126</v>
      </c>
    </row>
    <row r="20" spans="1:2" ht="30" x14ac:dyDescent="0.35">
      <c r="A20" s="86" t="s">
        <v>127</v>
      </c>
      <c r="B20" s="86" t="s">
        <v>128</v>
      </c>
    </row>
    <row r="21" spans="1:2" ht="25" customHeight="1" x14ac:dyDescent="0.35">
      <c r="A21" s="86" t="s">
        <v>129</v>
      </c>
      <c r="B21" s="86" t="s">
        <v>130</v>
      </c>
    </row>
    <row r="22" spans="1:2" ht="39" customHeight="1" x14ac:dyDescent="0.35">
      <c r="A22" s="86" t="s">
        <v>131</v>
      </c>
      <c r="B22" s="86" t="s">
        <v>132</v>
      </c>
    </row>
    <row r="23" spans="1:2" ht="36" customHeight="1" x14ac:dyDescent="0.35">
      <c r="A23" s="86" t="s">
        <v>133</v>
      </c>
      <c r="B23" s="86" t="s">
        <v>134</v>
      </c>
    </row>
    <row r="24" spans="1:2" ht="25" customHeight="1" x14ac:dyDescent="0.35">
      <c r="A24" s="86" t="s">
        <v>135</v>
      </c>
      <c r="B24" s="86" t="s">
        <v>136</v>
      </c>
    </row>
    <row r="25" spans="1:2" ht="25" customHeight="1" x14ac:dyDescent="0.35">
      <c r="A25" s="86" t="s">
        <v>137</v>
      </c>
      <c r="B25" s="86" t="s">
        <v>138</v>
      </c>
    </row>
    <row r="26" spans="1:2" ht="25" customHeight="1" x14ac:dyDescent="0.35">
      <c r="A26" s="86" t="s">
        <v>139</v>
      </c>
      <c r="B26" s="86" t="s">
        <v>140</v>
      </c>
    </row>
    <row r="27" spans="1:2" ht="25" customHeight="1" x14ac:dyDescent="0.35">
      <c r="A27" s="86" t="s">
        <v>141</v>
      </c>
      <c r="B27" s="86" t="s">
        <v>142</v>
      </c>
    </row>
    <row r="28" spans="1:2" ht="25" customHeight="1" x14ac:dyDescent="0.35">
      <c r="A28" s="86" t="s">
        <v>143</v>
      </c>
      <c r="B28" s="86" t="s">
        <v>144</v>
      </c>
    </row>
    <row r="29" spans="1:2" ht="25" customHeight="1" x14ac:dyDescent="0.35">
      <c r="A29" s="86" t="s">
        <v>145</v>
      </c>
      <c r="B29" s="86" t="s">
        <v>146</v>
      </c>
    </row>
    <row r="30" spans="1:2" ht="30" x14ac:dyDescent="0.35">
      <c r="A30" s="86" t="s">
        <v>147</v>
      </c>
      <c r="B30" s="86" t="s">
        <v>148</v>
      </c>
    </row>
    <row r="31" spans="1:2" ht="25" customHeight="1" x14ac:dyDescent="0.35">
      <c r="A31" s="86" t="s">
        <v>149</v>
      </c>
      <c r="B31" s="86" t="s">
        <v>150</v>
      </c>
    </row>
    <row r="32" spans="1:2" ht="25" customHeight="1" x14ac:dyDescent="0.35">
      <c r="A32" s="86" t="s">
        <v>151</v>
      </c>
      <c r="B32" s="86" t="s">
        <v>152</v>
      </c>
    </row>
    <row r="33" spans="1:2" ht="25" customHeight="1" x14ac:dyDescent="0.35">
      <c r="A33" s="86" t="s">
        <v>153</v>
      </c>
      <c r="B33" s="86" t="s">
        <v>154</v>
      </c>
    </row>
    <row r="34" spans="1:2" ht="25" customHeight="1" x14ac:dyDescent="0.35">
      <c r="A34" s="86" t="s">
        <v>155</v>
      </c>
      <c r="B34" s="86" t="s">
        <v>156</v>
      </c>
    </row>
    <row r="35" spans="1:2" ht="25" customHeight="1" x14ac:dyDescent="0.35">
      <c r="A35" s="86" t="s">
        <v>157</v>
      </c>
      <c r="B35" s="86" t="s">
        <v>158</v>
      </c>
    </row>
    <row r="36" spans="1:2" ht="25" customHeight="1" x14ac:dyDescent="0.35">
      <c r="A36" s="82"/>
      <c r="B36" s="82"/>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showGridLines="0" zoomScaleNormal="100" workbookViewId="0"/>
  </sheetViews>
  <sheetFormatPr defaultColWidth="11.5625" defaultRowHeight="15" x14ac:dyDescent="0.35"/>
  <cols>
    <col min="1" max="1" width="50.6875" customWidth="1"/>
    <col min="2" max="17" width="15.5625" customWidth="1"/>
    <col min="18" max="18" width="43" style="6" customWidth="1"/>
  </cols>
  <sheetData>
    <row r="1" spans="1:18" ht="20.149999999999999" x14ac:dyDescent="0.5">
      <c r="A1" s="1" t="s">
        <v>159</v>
      </c>
    </row>
    <row r="2" spans="1:18" x14ac:dyDescent="0.35">
      <c r="A2" t="s">
        <v>34</v>
      </c>
    </row>
    <row r="3" spans="1:18" x14ac:dyDescent="0.35">
      <c r="A3" t="s">
        <v>160</v>
      </c>
    </row>
    <row r="4" spans="1:18" x14ac:dyDescent="0.35">
      <c r="A4" s="3" t="str">
        <f>HYPERLINK("#Notes!A1", "Link to Notes table")</f>
        <v>Link to Notes table</v>
      </c>
    </row>
    <row r="5" spans="1:18" ht="15.45" thickBot="1" x14ac:dyDescent="0.4">
      <c r="A5" s="3" t="s">
        <v>161</v>
      </c>
    </row>
    <row r="6" spans="1:18" ht="46.3" x14ac:dyDescent="0.4">
      <c r="A6" s="112" t="s">
        <v>162</v>
      </c>
      <c r="B6" s="10" t="s">
        <v>163</v>
      </c>
      <c r="C6" s="10" t="s">
        <v>164</v>
      </c>
      <c r="D6" s="10" t="s">
        <v>165</v>
      </c>
      <c r="E6" s="10" t="s">
        <v>166</v>
      </c>
      <c r="F6" s="10" t="s">
        <v>167</v>
      </c>
      <c r="G6" s="10" t="s">
        <v>168</v>
      </c>
      <c r="H6" s="10" t="s">
        <v>169</v>
      </c>
      <c r="I6" s="10" t="s">
        <v>170</v>
      </c>
      <c r="J6" s="10" t="s">
        <v>171</v>
      </c>
      <c r="K6" s="10" t="s">
        <v>172</v>
      </c>
      <c r="L6" s="10" t="s">
        <v>173</v>
      </c>
      <c r="M6" s="10" t="s">
        <v>174</v>
      </c>
      <c r="N6" s="10" t="s">
        <v>175</v>
      </c>
      <c r="O6" s="52" t="s">
        <v>176</v>
      </c>
      <c r="P6" s="55" t="s">
        <v>177</v>
      </c>
      <c r="Q6" s="52" t="s">
        <v>178</v>
      </c>
      <c r="R6" s="113" t="s">
        <v>179</v>
      </c>
    </row>
    <row r="7" spans="1:18" ht="25" customHeight="1" x14ac:dyDescent="0.35">
      <c r="A7" s="11" t="s">
        <v>180</v>
      </c>
      <c r="B7" s="8">
        <v>86840</v>
      </c>
      <c r="C7" s="8">
        <v>109023</v>
      </c>
      <c r="D7" s="8">
        <v>109562</v>
      </c>
      <c r="E7" s="8">
        <v>109594</v>
      </c>
      <c r="F7" s="8">
        <v>109489</v>
      </c>
      <c r="G7" s="8">
        <v>99778</v>
      </c>
      <c r="H7" s="8">
        <v>107480</v>
      </c>
      <c r="I7" s="8">
        <v>93538</v>
      </c>
      <c r="J7" s="8">
        <v>104571</v>
      </c>
      <c r="K7" s="8">
        <v>110187</v>
      </c>
      <c r="L7" s="8">
        <v>107166</v>
      </c>
      <c r="M7" s="8">
        <v>98055</v>
      </c>
      <c r="N7" s="8">
        <v>108256.05527500001</v>
      </c>
      <c r="O7" s="53">
        <v>102703.4</v>
      </c>
      <c r="P7" s="114">
        <v>5.40649606050044</v>
      </c>
      <c r="Q7" s="114">
        <v>10.4034014328693</v>
      </c>
      <c r="R7" s="115" t="s">
        <v>181</v>
      </c>
    </row>
    <row r="8" spans="1:18" ht="25" customHeight="1" x14ac:dyDescent="0.35">
      <c r="A8" s="11" t="s">
        <v>182</v>
      </c>
      <c r="B8" s="8">
        <v>513</v>
      </c>
      <c r="C8" s="8">
        <v>519</v>
      </c>
      <c r="D8" s="8">
        <v>626</v>
      </c>
      <c r="E8" s="8">
        <v>614</v>
      </c>
      <c r="F8" s="8">
        <v>601</v>
      </c>
      <c r="G8" s="8">
        <v>956</v>
      </c>
      <c r="H8" s="8">
        <v>533</v>
      </c>
      <c r="I8" s="8">
        <v>448</v>
      </c>
      <c r="J8" s="8">
        <v>441</v>
      </c>
      <c r="K8" s="8">
        <v>378</v>
      </c>
      <c r="L8" s="8">
        <v>258</v>
      </c>
      <c r="M8" s="8">
        <v>452</v>
      </c>
      <c r="N8" s="8">
        <v>350.39179999999999</v>
      </c>
      <c r="O8" s="53">
        <v>395.4</v>
      </c>
      <c r="P8" s="114">
        <v>-11.3829539706626</v>
      </c>
      <c r="Q8" s="114">
        <v>-22.479690265486699</v>
      </c>
      <c r="R8" s="69" t="s">
        <v>181</v>
      </c>
    </row>
    <row r="9" spans="1:18" ht="25" customHeight="1" x14ac:dyDescent="0.35">
      <c r="A9" s="11" t="s">
        <v>183</v>
      </c>
      <c r="B9" s="8">
        <v>42694</v>
      </c>
      <c r="C9" s="8">
        <v>52507</v>
      </c>
      <c r="D9" s="8">
        <v>51808</v>
      </c>
      <c r="E9" s="8">
        <v>48031</v>
      </c>
      <c r="F9" s="8">
        <v>47509</v>
      </c>
      <c r="G9" s="8">
        <v>37542</v>
      </c>
      <c r="H9" s="8">
        <v>48802</v>
      </c>
      <c r="I9" s="8">
        <v>43091</v>
      </c>
      <c r="J9" s="8">
        <v>43246</v>
      </c>
      <c r="K9" s="8">
        <v>45659</v>
      </c>
      <c r="L9" s="8">
        <v>46358</v>
      </c>
      <c r="M9" s="8">
        <v>42874</v>
      </c>
      <c r="N9" s="8">
        <v>43430.893540810597</v>
      </c>
      <c r="O9" s="53">
        <v>44245.599999999999</v>
      </c>
      <c r="P9" s="114">
        <v>-1.8413276330061601</v>
      </c>
      <c r="Q9" s="114">
        <v>1.29890735833052</v>
      </c>
      <c r="R9" s="69" t="s">
        <v>181</v>
      </c>
    </row>
    <row r="10" spans="1:18" ht="25" customHeight="1" x14ac:dyDescent="0.35">
      <c r="A10" s="11" t="s">
        <v>184</v>
      </c>
      <c r="B10" s="8">
        <v>296444</v>
      </c>
      <c r="C10" s="8">
        <v>274377</v>
      </c>
      <c r="D10" s="8">
        <v>255878</v>
      </c>
      <c r="E10" s="8">
        <v>238899</v>
      </c>
      <c r="F10" s="8">
        <v>243838</v>
      </c>
      <c r="G10" s="8">
        <v>250476</v>
      </c>
      <c r="H10" s="8">
        <v>242090</v>
      </c>
      <c r="I10" s="8">
        <v>258702</v>
      </c>
      <c r="J10" s="8">
        <v>248921</v>
      </c>
      <c r="K10" s="8">
        <v>244717</v>
      </c>
      <c r="L10" s="8">
        <v>249462</v>
      </c>
      <c r="M10" s="8">
        <v>257507</v>
      </c>
      <c r="N10" s="8">
        <v>251892.47235918901</v>
      </c>
      <c r="O10" s="53">
        <v>251861.8</v>
      </c>
      <c r="P10" s="114">
        <v>1.2178249813745899E-2</v>
      </c>
      <c r="Q10" s="114">
        <v>-2.1803398124364102</v>
      </c>
      <c r="R10" s="69" t="s">
        <v>181</v>
      </c>
    </row>
    <row r="11" spans="1:18" ht="25" customHeight="1" x14ac:dyDescent="0.4">
      <c r="A11" s="12" t="s">
        <v>185</v>
      </c>
      <c r="B11" s="9">
        <v>339138</v>
      </c>
      <c r="C11" s="9">
        <v>326884</v>
      </c>
      <c r="D11" s="9">
        <v>307686</v>
      </c>
      <c r="E11" s="9">
        <v>286930</v>
      </c>
      <c r="F11" s="9">
        <v>291347</v>
      </c>
      <c r="G11" s="9">
        <v>288017</v>
      </c>
      <c r="H11" s="9">
        <v>290893</v>
      </c>
      <c r="I11" s="9">
        <v>301793</v>
      </c>
      <c r="J11" s="9">
        <v>292167</v>
      </c>
      <c r="K11" s="9">
        <v>290376</v>
      </c>
      <c r="L11" s="9">
        <v>295820</v>
      </c>
      <c r="M11" s="9">
        <v>300380</v>
      </c>
      <c r="N11" s="9">
        <v>295323.36589999998</v>
      </c>
      <c r="O11" s="54">
        <v>296107.2</v>
      </c>
      <c r="P11" s="116">
        <v>-0.26471294855377903</v>
      </c>
      <c r="Q11" s="116">
        <v>-1.6834123776549801</v>
      </c>
      <c r="R11" s="117" t="s">
        <v>181</v>
      </c>
    </row>
    <row r="12" spans="1:18" ht="25" customHeight="1" x14ac:dyDescent="0.35">
      <c r="A12" s="11" t="s">
        <v>186</v>
      </c>
      <c r="B12" s="8">
        <v>5569</v>
      </c>
      <c r="C12" s="8">
        <v>7998</v>
      </c>
      <c r="D12" s="8">
        <v>7586</v>
      </c>
      <c r="E12" s="8">
        <v>8091</v>
      </c>
      <c r="F12" s="8">
        <v>9168</v>
      </c>
      <c r="G12" s="8">
        <v>8439</v>
      </c>
      <c r="H12" s="8">
        <v>10015</v>
      </c>
      <c r="I12" s="8">
        <v>7984</v>
      </c>
      <c r="J12" s="8">
        <v>9983</v>
      </c>
      <c r="K12" s="8">
        <v>8914</v>
      </c>
      <c r="L12" s="8">
        <v>8785</v>
      </c>
      <c r="M12" s="8">
        <v>8076</v>
      </c>
      <c r="N12" s="8">
        <v>9655.52536506867</v>
      </c>
      <c r="O12" s="53">
        <v>8748.4</v>
      </c>
      <c r="P12" s="114">
        <v>10.369043082948499</v>
      </c>
      <c r="Q12" s="114">
        <v>19.558263559542699</v>
      </c>
      <c r="R12" s="69" t="s">
        <v>181</v>
      </c>
    </row>
    <row r="13" spans="1:18" ht="25" customHeight="1" x14ac:dyDescent="0.35">
      <c r="A13" s="11" t="s">
        <v>187</v>
      </c>
      <c r="B13" s="8">
        <v>26159</v>
      </c>
      <c r="C13" s="8">
        <v>17052</v>
      </c>
      <c r="D13" s="8">
        <v>18029</v>
      </c>
      <c r="E13" s="8">
        <v>23119</v>
      </c>
      <c r="F13" s="8">
        <v>23456</v>
      </c>
      <c r="G13" s="8">
        <v>23661</v>
      </c>
      <c r="H13" s="8">
        <v>21905</v>
      </c>
      <c r="I13" s="8">
        <v>26000</v>
      </c>
      <c r="J13" s="8">
        <v>23756</v>
      </c>
      <c r="K13" s="8">
        <v>19763</v>
      </c>
      <c r="L13" s="8">
        <v>17397</v>
      </c>
      <c r="M13" s="8">
        <v>19515</v>
      </c>
      <c r="N13" s="8">
        <v>19788.049959931301</v>
      </c>
      <c r="O13" s="53">
        <v>21286.2</v>
      </c>
      <c r="P13" s="114">
        <v>-7.0381281772635402</v>
      </c>
      <c r="Q13" s="114">
        <v>1.3991799125356399</v>
      </c>
      <c r="R13" s="69" t="s">
        <v>181</v>
      </c>
    </row>
    <row r="14" spans="1:18" ht="25" customHeight="1" x14ac:dyDescent="0.4">
      <c r="A14" s="12" t="s">
        <v>188</v>
      </c>
      <c r="B14" s="9">
        <v>31728</v>
      </c>
      <c r="C14" s="9">
        <v>25050</v>
      </c>
      <c r="D14" s="9">
        <v>25615</v>
      </c>
      <c r="E14" s="9">
        <v>31210</v>
      </c>
      <c r="F14" s="9">
        <v>32625</v>
      </c>
      <c r="G14" s="9">
        <v>32101</v>
      </c>
      <c r="H14" s="9">
        <v>31920</v>
      </c>
      <c r="I14" s="9">
        <v>33984</v>
      </c>
      <c r="J14" s="9">
        <v>33739</v>
      </c>
      <c r="K14" s="9">
        <v>28677</v>
      </c>
      <c r="L14" s="9">
        <v>26182</v>
      </c>
      <c r="M14" s="9">
        <v>27590</v>
      </c>
      <c r="N14" s="9">
        <v>29443.575325000002</v>
      </c>
      <c r="O14" s="54">
        <v>30034.400000000001</v>
      </c>
      <c r="P14" s="116">
        <v>-1.96715990664038</v>
      </c>
      <c r="Q14" s="116">
        <v>6.71828678869156</v>
      </c>
      <c r="R14" s="117" t="s">
        <v>181</v>
      </c>
    </row>
    <row r="15" spans="1:18" ht="25" customHeight="1" x14ac:dyDescent="0.35">
      <c r="A15" s="11" t="s">
        <v>189</v>
      </c>
      <c r="B15" s="8" t="s">
        <v>190</v>
      </c>
      <c r="C15" s="8">
        <v>404</v>
      </c>
      <c r="D15" s="8">
        <v>915</v>
      </c>
      <c r="E15" s="8">
        <v>3725</v>
      </c>
      <c r="F15" s="8">
        <v>5480</v>
      </c>
      <c r="G15" s="8">
        <v>5786</v>
      </c>
      <c r="H15" s="8">
        <v>6415</v>
      </c>
      <c r="I15" s="8">
        <v>5137</v>
      </c>
      <c r="J15" s="8">
        <v>6626</v>
      </c>
      <c r="K15" s="8">
        <v>7291</v>
      </c>
      <c r="L15" s="8">
        <v>7197</v>
      </c>
      <c r="M15" s="8">
        <v>6583</v>
      </c>
      <c r="N15" s="8">
        <v>7524.8687</v>
      </c>
      <c r="O15" s="53">
        <v>6566.8</v>
      </c>
      <c r="P15" s="114">
        <v>14.589582445026499</v>
      </c>
      <c r="Q15" s="114">
        <v>14.3075907640893</v>
      </c>
      <c r="R15" s="69" t="s">
        <v>181</v>
      </c>
    </row>
    <row r="16" spans="1:18" ht="25" customHeight="1" x14ac:dyDescent="0.35">
      <c r="A16" s="11" t="s">
        <v>191</v>
      </c>
      <c r="B16" s="8">
        <v>1373</v>
      </c>
      <c r="C16" s="8">
        <v>646</v>
      </c>
      <c r="D16" s="8">
        <v>75</v>
      </c>
      <c r="E16" s="8">
        <v>18</v>
      </c>
      <c r="F16" s="8">
        <v>16</v>
      </c>
      <c r="G16" s="8">
        <v>18</v>
      </c>
      <c r="H16" s="8">
        <v>18</v>
      </c>
      <c r="I16" s="8">
        <v>41</v>
      </c>
      <c r="J16" s="8">
        <v>20.52</v>
      </c>
      <c r="K16" s="8">
        <v>20.52</v>
      </c>
      <c r="L16" s="8">
        <v>20.52</v>
      </c>
      <c r="M16" s="8">
        <v>20.52</v>
      </c>
      <c r="N16" s="8">
        <v>20.52</v>
      </c>
      <c r="O16" s="53">
        <v>24.615999999999996</v>
      </c>
      <c r="P16" s="114">
        <v>-16.639600000000002</v>
      </c>
      <c r="Q16" s="114">
        <v>0</v>
      </c>
      <c r="R16" s="69" t="s">
        <v>192</v>
      </c>
    </row>
    <row r="17" spans="1:23" ht="25" customHeight="1" x14ac:dyDescent="0.4">
      <c r="A17" s="12" t="s">
        <v>193</v>
      </c>
      <c r="B17" s="9">
        <v>459592</v>
      </c>
      <c r="C17" s="9">
        <v>462528</v>
      </c>
      <c r="D17" s="9">
        <v>444479</v>
      </c>
      <c r="E17" s="9">
        <v>432091</v>
      </c>
      <c r="F17" s="9">
        <v>439557</v>
      </c>
      <c r="G17" s="9">
        <v>426639</v>
      </c>
      <c r="H17" s="9">
        <v>437258</v>
      </c>
      <c r="I17" s="9">
        <v>434940</v>
      </c>
      <c r="J17" s="9">
        <v>437564</v>
      </c>
      <c r="K17" s="9">
        <v>436930</v>
      </c>
      <c r="L17" s="9">
        <v>436644</v>
      </c>
      <c r="M17" s="9">
        <v>433083</v>
      </c>
      <c r="N17" s="9">
        <v>440918.777</v>
      </c>
      <c r="O17" s="54">
        <v>435832.2</v>
      </c>
      <c r="P17" s="116">
        <v>1.1670952719876999</v>
      </c>
      <c r="Q17" s="116">
        <v>1.8093014502993701</v>
      </c>
      <c r="R17" s="118" t="s">
        <v>194</v>
      </c>
      <c r="U17" s="67"/>
      <c r="V17" s="67"/>
      <c r="W17" s="137"/>
    </row>
    <row r="18" spans="1:23" ht="25" customHeight="1" x14ac:dyDescent="0.35">
      <c r="A18" s="11" t="s">
        <v>195</v>
      </c>
      <c r="B18" s="8">
        <v>31454</v>
      </c>
      <c r="C18" s="8">
        <v>36420</v>
      </c>
      <c r="D18" s="8">
        <v>35198</v>
      </c>
      <c r="E18" s="8">
        <v>30141</v>
      </c>
      <c r="F18" s="8">
        <v>33843</v>
      </c>
      <c r="G18" s="8">
        <v>32284</v>
      </c>
      <c r="H18" s="8">
        <v>31561</v>
      </c>
      <c r="I18" s="8">
        <v>30373</v>
      </c>
      <c r="J18" s="8">
        <v>32771</v>
      </c>
      <c r="K18" s="8">
        <v>35860</v>
      </c>
      <c r="L18" s="8">
        <v>40484</v>
      </c>
      <c r="M18" s="8">
        <v>36501</v>
      </c>
      <c r="N18" s="8">
        <v>32523.116727197401</v>
      </c>
      <c r="O18" s="53">
        <v>35197.800000000003</v>
      </c>
      <c r="P18" s="114">
        <v>-7.5990069629426804</v>
      </c>
      <c r="Q18" s="114">
        <v>-10.8980117607809</v>
      </c>
      <c r="R18" s="69" t="s">
        <v>181</v>
      </c>
    </row>
    <row r="19" spans="1:23" ht="25" customHeight="1" x14ac:dyDescent="0.35">
      <c r="A19" s="11" t="s">
        <v>196</v>
      </c>
      <c r="B19" s="8">
        <v>2199</v>
      </c>
      <c r="C19" s="8">
        <v>720</v>
      </c>
      <c r="D19" s="8">
        <v>599</v>
      </c>
      <c r="E19" s="8">
        <v>590</v>
      </c>
      <c r="F19" s="8">
        <v>345</v>
      </c>
      <c r="G19" s="8">
        <v>454</v>
      </c>
      <c r="H19" s="8">
        <v>246</v>
      </c>
      <c r="I19" s="8">
        <v>420</v>
      </c>
      <c r="J19" s="8">
        <v>417</v>
      </c>
      <c r="K19" s="8">
        <v>291</v>
      </c>
      <c r="L19" s="8">
        <v>257</v>
      </c>
      <c r="M19" s="8">
        <v>167</v>
      </c>
      <c r="N19" s="8">
        <v>141.42169780263501</v>
      </c>
      <c r="O19" s="53">
        <v>310.39999999999998</v>
      </c>
      <c r="P19" s="114">
        <v>-54.438886017192303</v>
      </c>
      <c r="Q19" s="114">
        <v>-15.3163486211766</v>
      </c>
      <c r="R19" s="69" t="s">
        <v>197</v>
      </c>
    </row>
    <row r="20" spans="1:23" ht="25" customHeight="1" x14ac:dyDescent="0.35">
      <c r="A20" s="11" t="s">
        <v>198</v>
      </c>
      <c r="B20" s="8" t="s">
        <v>190</v>
      </c>
      <c r="C20" s="8" t="s">
        <v>190</v>
      </c>
      <c r="D20" s="8">
        <v>151</v>
      </c>
      <c r="E20" s="8" t="s">
        <v>190</v>
      </c>
      <c r="F20" s="8" t="s">
        <v>190</v>
      </c>
      <c r="G20" s="8" t="s">
        <v>190</v>
      </c>
      <c r="H20" s="8">
        <v>47</v>
      </c>
      <c r="I20" s="8">
        <v>117</v>
      </c>
      <c r="J20" s="8">
        <v>193</v>
      </c>
      <c r="K20" s="8">
        <v>122</v>
      </c>
      <c r="L20" s="8">
        <v>49</v>
      </c>
      <c r="M20" s="8">
        <v>49</v>
      </c>
      <c r="N20" s="8">
        <v>112.17910000000001</v>
      </c>
      <c r="O20" s="53">
        <v>106</v>
      </c>
      <c r="P20" s="114">
        <v>5.82933962264151</v>
      </c>
      <c r="Q20" s="114">
        <v>128.93693877550999</v>
      </c>
      <c r="R20" s="69" t="s">
        <v>199</v>
      </c>
    </row>
    <row r="21" spans="1:23" ht="25" customHeight="1" x14ac:dyDescent="0.4">
      <c r="A21" s="12" t="s">
        <v>200</v>
      </c>
      <c r="B21" s="9">
        <v>33653</v>
      </c>
      <c r="C21" s="9">
        <v>37140</v>
      </c>
      <c r="D21" s="9">
        <v>35948</v>
      </c>
      <c r="E21" s="9">
        <v>30731</v>
      </c>
      <c r="F21" s="9">
        <v>34188</v>
      </c>
      <c r="G21" s="9">
        <v>32738</v>
      </c>
      <c r="H21" s="9">
        <v>31855</v>
      </c>
      <c r="I21" s="9">
        <v>30910</v>
      </c>
      <c r="J21" s="9">
        <v>33381</v>
      </c>
      <c r="K21" s="9">
        <v>36274</v>
      </c>
      <c r="L21" s="9">
        <v>40790</v>
      </c>
      <c r="M21" s="9">
        <v>36717</v>
      </c>
      <c r="N21" s="9">
        <v>32776.717525</v>
      </c>
      <c r="O21" s="54">
        <v>35614.400000000001</v>
      </c>
      <c r="P21" s="116">
        <v>-7.9677952597825596</v>
      </c>
      <c r="Q21" s="116">
        <v>-10.7314935179889</v>
      </c>
      <c r="R21" s="117" t="s">
        <v>181</v>
      </c>
    </row>
    <row r="22" spans="1:23" ht="25" customHeight="1" x14ac:dyDescent="0.35">
      <c r="A22" s="11" t="s">
        <v>201</v>
      </c>
      <c r="B22" s="8">
        <v>537</v>
      </c>
      <c r="C22" s="8">
        <v>616</v>
      </c>
      <c r="D22" s="8">
        <v>1470</v>
      </c>
      <c r="E22" s="8">
        <v>776</v>
      </c>
      <c r="F22" s="8">
        <v>714</v>
      </c>
      <c r="G22" s="8">
        <v>514</v>
      </c>
      <c r="H22" s="8">
        <v>517</v>
      </c>
      <c r="I22" s="8">
        <v>328</v>
      </c>
      <c r="J22" s="8">
        <v>342</v>
      </c>
      <c r="K22" s="8">
        <v>420</v>
      </c>
      <c r="L22" s="8">
        <v>440</v>
      </c>
      <c r="M22" s="8">
        <v>542</v>
      </c>
      <c r="N22" s="8">
        <v>349.63743068257099</v>
      </c>
      <c r="O22" s="53">
        <v>414.4</v>
      </c>
      <c r="P22" s="114">
        <v>-15.628033136445101</v>
      </c>
      <c r="Q22" s="114">
        <v>-35.4912489515551</v>
      </c>
      <c r="R22" s="69" t="s">
        <v>181</v>
      </c>
    </row>
    <row r="23" spans="1:23" ht="25" customHeight="1" x14ac:dyDescent="0.35">
      <c r="A23" s="11" t="s">
        <v>202</v>
      </c>
      <c r="B23" s="8">
        <v>2891</v>
      </c>
      <c r="C23" s="8">
        <v>2765</v>
      </c>
      <c r="D23" s="8">
        <v>4045</v>
      </c>
      <c r="E23" s="8">
        <v>3002</v>
      </c>
      <c r="F23" s="8">
        <v>2993</v>
      </c>
      <c r="G23" s="8">
        <v>2033</v>
      </c>
      <c r="H23" s="8">
        <v>1803</v>
      </c>
      <c r="I23" s="8">
        <v>2138</v>
      </c>
      <c r="J23" s="8">
        <v>2051</v>
      </c>
      <c r="K23" s="8">
        <v>2720</v>
      </c>
      <c r="L23" s="8">
        <v>2654</v>
      </c>
      <c r="M23" s="8">
        <v>2919</v>
      </c>
      <c r="N23" s="8">
        <v>3019.6672223939199</v>
      </c>
      <c r="O23" s="53">
        <v>2496.4</v>
      </c>
      <c r="P23" s="114">
        <v>20.960872552232001</v>
      </c>
      <c r="Q23" s="114">
        <v>3.4486886739952198</v>
      </c>
      <c r="R23" s="69" t="s">
        <v>181</v>
      </c>
    </row>
    <row r="24" spans="1:23" ht="25" customHeight="1" x14ac:dyDescent="0.4">
      <c r="A24" s="12" t="s">
        <v>203</v>
      </c>
      <c r="B24" s="9">
        <v>496673</v>
      </c>
      <c r="C24" s="9">
        <v>503049</v>
      </c>
      <c r="D24" s="9">
        <v>485943</v>
      </c>
      <c r="E24" s="9">
        <v>466599</v>
      </c>
      <c r="F24" s="9">
        <v>477452</v>
      </c>
      <c r="G24" s="9">
        <v>461943</v>
      </c>
      <c r="H24" s="9">
        <v>471434</v>
      </c>
      <c r="I24" s="9">
        <v>468317</v>
      </c>
      <c r="J24" s="9">
        <v>473338</v>
      </c>
      <c r="K24" s="9">
        <v>476345</v>
      </c>
      <c r="L24" s="9">
        <v>480528</v>
      </c>
      <c r="M24" s="9">
        <v>473259</v>
      </c>
      <c r="N24" s="9">
        <v>477064.79917807702</v>
      </c>
      <c r="O24" s="54">
        <v>474357.4</v>
      </c>
      <c r="P24" s="116">
        <v>0.57075091019481905</v>
      </c>
      <c r="Q24" s="116">
        <v>0.80416836828808302</v>
      </c>
      <c r="R24" s="117" t="s">
        <v>181</v>
      </c>
    </row>
    <row r="25" spans="1:23" ht="25" customHeight="1" x14ac:dyDescent="0.35">
      <c r="A25" s="11" t="s">
        <v>204</v>
      </c>
      <c r="B25" s="8">
        <v>12623</v>
      </c>
      <c r="C25" s="8">
        <v>13300</v>
      </c>
      <c r="D25" s="8">
        <v>12115</v>
      </c>
      <c r="E25" s="8">
        <v>12760</v>
      </c>
      <c r="F25" s="8">
        <v>13108</v>
      </c>
      <c r="G25" s="8">
        <v>12091</v>
      </c>
      <c r="H25" s="8">
        <v>12548</v>
      </c>
      <c r="I25" s="8">
        <v>12003</v>
      </c>
      <c r="J25" s="8">
        <v>12173</v>
      </c>
      <c r="K25" s="8">
        <v>12137</v>
      </c>
      <c r="L25" s="8">
        <v>11743</v>
      </c>
      <c r="M25" s="8">
        <v>12788</v>
      </c>
      <c r="N25" s="8">
        <v>13361.288675</v>
      </c>
      <c r="O25" s="53">
        <v>12168.8</v>
      </c>
      <c r="P25" s="114">
        <v>9.7995585020708695</v>
      </c>
      <c r="Q25" s="114">
        <v>4.4830206052549304</v>
      </c>
      <c r="R25" s="69" t="s">
        <v>181</v>
      </c>
    </row>
    <row r="26" spans="1:23" ht="25" customHeight="1" x14ac:dyDescent="0.35">
      <c r="A26" s="11" t="s">
        <v>205</v>
      </c>
      <c r="B26" s="8">
        <v>16486</v>
      </c>
      <c r="C26" s="8">
        <v>15211</v>
      </c>
      <c r="D26" s="8">
        <v>13649</v>
      </c>
      <c r="E26" s="8">
        <v>14766</v>
      </c>
      <c r="F26" s="8">
        <v>16177</v>
      </c>
      <c r="G26" s="8">
        <v>15267</v>
      </c>
      <c r="H26" s="8">
        <v>15943</v>
      </c>
      <c r="I26" s="8">
        <v>16294</v>
      </c>
      <c r="J26" s="8">
        <v>16245</v>
      </c>
      <c r="K26" s="8">
        <v>15826</v>
      </c>
      <c r="L26" s="8">
        <v>14851</v>
      </c>
      <c r="M26" s="8">
        <v>16298</v>
      </c>
      <c r="N26" s="8">
        <v>17003.179025000001</v>
      </c>
      <c r="O26" s="53">
        <v>15902.8</v>
      </c>
      <c r="P26" s="114">
        <v>6.9194042872953299</v>
      </c>
      <c r="Q26" s="114">
        <v>4.3267825806847497</v>
      </c>
      <c r="R26" s="69" t="s">
        <v>181</v>
      </c>
    </row>
    <row r="27" spans="1:23" ht="25" customHeight="1" x14ac:dyDescent="0.4">
      <c r="A27" s="12" t="s">
        <v>206</v>
      </c>
      <c r="B27" s="9">
        <v>29109</v>
      </c>
      <c r="C27" s="9">
        <v>28511</v>
      </c>
      <c r="D27" s="9">
        <v>25764</v>
      </c>
      <c r="E27" s="9">
        <v>27525</v>
      </c>
      <c r="F27" s="9">
        <v>29285</v>
      </c>
      <c r="G27" s="9">
        <v>27358</v>
      </c>
      <c r="H27" s="9">
        <v>28491</v>
      </c>
      <c r="I27" s="9">
        <v>28297</v>
      </c>
      <c r="J27" s="9">
        <v>28418</v>
      </c>
      <c r="K27" s="9">
        <v>27963</v>
      </c>
      <c r="L27" s="9">
        <v>26594</v>
      </c>
      <c r="M27" s="9">
        <v>29085</v>
      </c>
      <c r="N27" s="9">
        <v>30364.467700000001</v>
      </c>
      <c r="O27" s="54">
        <v>28071.4</v>
      </c>
      <c r="P27" s="116">
        <v>8.1686973218293293</v>
      </c>
      <c r="Q27" s="116">
        <v>4.3990637785800297</v>
      </c>
      <c r="R27" s="117" t="s">
        <v>181</v>
      </c>
    </row>
    <row r="28" spans="1:23" ht="25" customHeight="1" x14ac:dyDescent="0.35">
      <c r="A28" s="11" t="s">
        <v>207</v>
      </c>
      <c r="B28" s="8">
        <v>4106</v>
      </c>
      <c r="C28" s="8">
        <v>4169</v>
      </c>
      <c r="D28" s="8">
        <v>3959</v>
      </c>
      <c r="E28" s="8">
        <v>4099</v>
      </c>
      <c r="F28" s="8">
        <v>3806</v>
      </c>
      <c r="G28" s="8">
        <v>3882</v>
      </c>
      <c r="H28" s="8">
        <v>3824</v>
      </c>
      <c r="I28" s="8">
        <v>3611</v>
      </c>
      <c r="J28" s="8">
        <v>3517</v>
      </c>
      <c r="K28" s="8">
        <v>3356</v>
      </c>
      <c r="L28" s="8">
        <v>3026</v>
      </c>
      <c r="M28" s="8">
        <v>3117</v>
      </c>
      <c r="N28" s="8">
        <v>3227.2506443719399</v>
      </c>
      <c r="O28" s="53">
        <v>3325.4</v>
      </c>
      <c r="P28" s="114">
        <v>-2.9515052513401301</v>
      </c>
      <c r="Q28" s="114">
        <v>3.5370755332670898</v>
      </c>
      <c r="R28" s="69" t="s">
        <v>181</v>
      </c>
    </row>
    <row r="29" spans="1:23" ht="25" customHeight="1" x14ac:dyDescent="0.35">
      <c r="A29" s="11" t="s">
        <v>208</v>
      </c>
      <c r="B29" s="8">
        <v>1802</v>
      </c>
      <c r="C29" s="8">
        <v>1814</v>
      </c>
      <c r="D29" s="8">
        <v>2084</v>
      </c>
      <c r="E29" s="8">
        <v>2035</v>
      </c>
      <c r="F29" s="8">
        <v>1915</v>
      </c>
      <c r="G29" s="8">
        <v>1968</v>
      </c>
      <c r="H29" s="8">
        <v>1869</v>
      </c>
      <c r="I29" s="8">
        <v>2306</v>
      </c>
      <c r="J29" s="8">
        <v>2068</v>
      </c>
      <c r="K29" s="8">
        <v>1808</v>
      </c>
      <c r="L29" s="8">
        <v>1961</v>
      </c>
      <c r="M29" s="8">
        <v>1967</v>
      </c>
      <c r="N29" s="8">
        <v>2015.6179505945199</v>
      </c>
      <c r="O29" s="53">
        <v>2022</v>
      </c>
      <c r="P29" s="114">
        <v>-0.315630534395618</v>
      </c>
      <c r="Q29" s="114">
        <v>2.4716802539156402</v>
      </c>
      <c r="R29" s="69" t="s">
        <v>181</v>
      </c>
    </row>
    <row r="30" spans="1:23" ht="25" customHeight="1" x14ac:dyDescent="0.35">
      <c r="A30" s="11" t="s">
        <v>209</v>
      </c>
      <c r="B30" s="8">
        <v>1406</v>
      </c>
      <c r="C30" s="8">
        <v>1319</v>
      </c>
      <c r="D30" s="8">
        <v>1396</v>
      </c>
      <c r="E30" s="8">
        <v>763</v>
      </c>
      <c r="F30" s="8">
        <v>792</v>
      </c>
      <c r="G30" s="8">
        <v>836</v>
      </c>
      <c r="H30" s="8">
        <v>879</v>
      </c>
      <c r="I30" s="8">
        <v>1026</v>
      </c>
      <c r="J30" s="8">
        <v>1229</v>
      </c>
      <c r="K30" s="8">
        <v>1274</v>
      </c>
      <c r="L30" s="8">
        <v>1460</v>
      </c>
      <c r="M30" s="8">
        <v>2119</v>
      </c>
      <c r="N30" s="8">
        <v>2582.8550066808898</v>
      </c>
      <c r="O30" s="53">
        <v>1421.6</v>
      </c>
      <c r="P30" s="114">
        <v>81.686480492465293</v>
      </c>
      <c r="Q30" s="114">
        <v>21.890278748508099</v>
      </c>
      <c r="R30" s="69" t="s">
        <v>181</v>
      </c>
    </row>
    <row r="31" spans="1:23" ht="25" customHeight="1" x14ac:dyDescent="0.35">
      <c r="A31" s="11" t="s">
        <v>210</v>
      </c>
      <c r="B31" s="8">
        <v>2102</v>
      </c>
      <c r="C31" s="8">
        <v>2025</v>
      </c>
      <c r="D31" s="8">
        <v>2390</v>
      </c>
      <c r="E31" s="8">
        <v>2011</v>
      </c>
      <c r="F31" s="8">
        <v>2007</v>
      </c>
      <c r="G31" s="8">
        <v>1933</v>
      </c>
      <c r="H31" s="8">
        <v>2140</v>
      </c>
      <c r="I31" s="8">
        <v>2293</v>
      </c>
      <c r="J31" s="8">
        <v>2248</v>
      </c>
      <c r="K31" s="8">
        <v>2046</v>
      </c>
      <c r="L31" s="8">
        <v>1768</v>
      </c>
      <c r="M31" s="8">
        <v>1916</v>
      </c>
      <c r="N31" s="8">
        <v>1880.8593611931501</v>
      </c>
      <c r="O31" s="53">
        <v>2054.1999999999998</v>
      </c>
      <c r="P31" s="114">
        <v>-8.4383525852812902</v>
      </c>
      <c r="Q31" s="114">
        <v>-1.8340625682071301</v>
      </c>
      <c r="R31" s="69" t="s">
        <v>181</v>
      </c>
    </row>
    <row r="32" spans="1:23" ht="25" customHeight="1" x14ac:dyDescent="0.35">
      <c r="A32" s="11" t="s">
        <v>211</v>
      </c>
      <c r="B32" s="8">
        <v>465</v>
      </c>
      <c r="C32" s="8">
        <v>392</v>
      </c>
      <c r="D32" s="8">
        <v>487</v>
      </c>
      <c r="E32" s="8">
        <v>437</v>
      </c>
      <c r="F32" s="8">
        <v>611</v>
      </c>
      <c r="G32" s="8">
        <v>729</v>
      </c>
      <c r="H32" s="8">
        <v>971</v>
      </c>
      <c r="I32" s="8">
        <v>1314</v>
      </c>
      <c r="J32" s="8">
        <v>1193</v>
      </c>
      <c r="K32" s="8">
        <v>1085</v>
      </c>
      <c r="L32" s="8">
        <v>1041</v>
      </c>
      <c r="M32" s="8">
        <v>1168</v>
      </c>
      <c r="N32" s="8">
        <v>1143.3469300472</v>
      </c>
      <c r="O32" s="53">
        <v>1160.2</v>
      </c>
      <c r="P32" s="114">
        <v>-1.45260040965316</v>
      </c>
      <c r="Q32" s="114">
        <v>-2.11070804390376</v>
      </c>
      <c r="R32" s="69" t="s">
        <v>181</v>
      </c>
    </row>
    <row r="33" spans="1:18" ht="25" customHeight="1" x14ac:dyDescent="0.35">
      <c r="A33" s="11" t="s">
        <v>212</v>
      </c>
      <c r="B33" s="8">
        <v>104</v>
      </c>
      <c r="C33" s="8">
        <v>114</v>
      </c>
      <c r="D33" s="8">
        <v>86</v>
      </c>
      <c r="E33" s="8">
        <v>43</v>
      </c>
      <c r="F33" s="8">
        <v>27</v>
      </c>
      <c r="G33" s="8">
        <v>5</v>
      </c>
      <c r="H33" s="8" t="s">
        <v>190</v>
      </c>
      <c r="I33" s="8" t="s">
        <v>190</v>
      </c>
      <c r="J33" s="8">
        <v>13</v>
      </c>
      <c r="K33" s="8">
        <v>14</v>
      </c>
      <c r="L33" s="8">
        <v>11</v>
      </c>
      <c r="M33" s="8">
        <v>15</v>
      </c>
      <c r="N33" s="8">
        <v>8.3203469235080991</v>
      </c>
      <c r="O33" s="53">
        <v>10.6</v>
      </c>
      <c r="P33" s="114">
        <v>-21.506161098980201</v>
      </c>
      <c r="Q33" s="114">
        <v>-44.531020509946003</v>
      </c>
      <c r="R33" s="69" t="s">
        <v>213</v>
      </c>
    </row>
    <row r="34" spans="1:18" ht="25" customHeight="1" x14ac:dyDescent="0.35">
      <c r="A34" s="11" t="s">
        <v>214</v>
      </c>
      <c r="B34" s="8">
        <v>9106</v>
      </c>
      <c r="C34" s="8">
        <v>8742</v>
      </c>
      <c r="D34" s="8">
        <v>7441</v>
      </c>
      <c r="E34" s="8">
        <v>7073</v>
      </c>
      <c r="F34" s="8">
        <v>6834</v>
      </c>
      <c r="G34" s="8">
        <v>7407</v>
      </c>
      <c r="H34" s="8">
        <v>7359</v>
      </c>
      <c r="I34" s="8">
        <v>6259</v>
      </c>
      <c r="J34" s="8">
        <v>6481</v>
      </c>
      <c r="K34" s="8">
        <v>6847</v>
      </c>
      <c r="L34" s="8">
        <v>6517</v>
      </c>
      <c r="M34" s="8">
        <v>6252</v>
      </c>
      <c r="N34" s="8">
        <v>6182.3102321122997</v>
      </c>
      <c r="O34" s="53">
        <v>6471.2</v>
      </c>
      <c r="P34" s="114">
        <v>-4.4642379757648998</v>
      </c>
      <c r="Q34" s="114">
        <v>-1.11467958873478</v>
      </c>
      <c r="R34" s="69" t="s">
        <v>181</v>
      </c>
    </row>
    <row r="35" spans="1:18" ht="25" customHeight="1" x14ac:dyDescent="0.4">
      <c r="A35" s="12" t="s">
        <v>215</v>
      </c>
      <c r="B35" s="9">
        <v>19091</v>
      </c>
      <c r="C35" s="9">
        <v>18574</v>
      </c>
      <c r="D35" s="9">
        <v>17843</v>
      </c>
      <c r="E35" s="9">
        <v>16460</v>
      </c>
      <c r="F35" s="9">
        <v>15992</v>
      </c>
      <c r="G35" s="9">
        <v>16761</v>
      </c>
      <c r="H35" s="9">
        <v>17041</v>
      </c>
      <c r="I35" s="9">
        <v>16807</v>
      </c>
      <c r="J35" s="9">
        <v>16749</v>
      </c>
      <c r="K35" s="9">
        <v>16430</v>
      </c>
      <c r="L35" s="9">
        <v>15784</v>
      </c>
      <c r="M35" s="9">
        <v>16554</v>
      </c>
      <c r="N35" s="9">
        <v>17040.560471923502</v>
      </c>
      <c r="O35" s="54">
        <v>16464.8</v>
      </c>
      <c r="P35" s="116">
        <v>3.4969174962557101</v>
      </c>
      <c r="Q35" s="116">
        <v>2.93923204013235</v>
      </c>
      <c r="R35" s="117" t="s">
        <v>181</v>
      </c>
    </row>
    <row r="36" spans="1:18" ht="25" customHeight="1" x14ac:dyDescent="0.35">
      <c r="A36" s="11" t="s">
        <v>216</v>
      </c>
      <c r="B36" s="8">
        <v>15902</v>
      </c>
      <c r="C36" s="8">
        <v>16262</v>
      </c>
      <c r="D36" s="8">
        <v>16672</v>
      </c>
      <c r="E36" s="8">
        <v>18168</v>
      </c>
      <c r="F36" s="8">
        <v>19336</v>
      </c>
      <c r="G36" s="8">
        <v>18888</v>
      </c>
      <c r="H36" s="8">
        <v>18624</v>
      </c>
      <c r="I36" s="8">
        <v>20996</v>
      </c>
      <c r="J36" s="8">
        <v>22066</v>
      </c>
      <c r="K36" s="8">
        <v>21057</v>
      </c>
      <c r="L36" s="8">
        <v>21467</v>
      </c>
      <c r="M36" s="8">
        <v>21944</v>
      </c>
      <c r="N36" s="8">
        <v>22672.29305</v>
      </c>
      <c r="O36" s="53">
        <v>21506</v>
      </c>
      <c r="P36" s="114">
        <v>5.4231054124430402</v>
      </c>
      <c r="Q36" s="114">
        <v>3.3188709897922002</v>
      </c>
      <c r="R36" s="69" t="s">
        <v>181</v>
      </c>
    </row>
    <row r="37" spans="1:18" ht="25" customHeight="1" x14ac:dyDescent="0.35">
      <c r="A37" s="11" t="s">
        <v>217</v>
      </c>
      <c r="B37" s="8">
        <v>86</v>
      </c>
      <c r="C37" s="8">
        <v>89</v>
      </c>
      <c r="D37" s="8">
        <v>111</v>
      </c>
      <c r="E37" s="8">
        <v>98</v>
      </c>
      <c r="F37" s="8">
        <v>100</v>
      </c>
      <c r="G37" s="8">
        <v>106</v>
      </c>
      <c r="H37" s="8">
        <v>128</v>
      </c>
      <c r="I37" s="8">
        <v>150</v>
      </c>
      <c r="J37" s="8">
        <v>172</v>
      </c>
      <c r="K37" s="8">
        <v>194</v>
      </c>
      <c r="L37" s="8">
        <v>160</v>
      </c>
      <c r="M37" s="8">
        <v>191</v>
      </c>
      <c r="N37" s="8">
        <v>196.61642367883999</v>
      </c>
      <c r="O37" s="53">
        <v>173.4</v>
      </c>
      <c r="P37" s="114">
        <v>13.388940991257201</v>
      </c>
      <c r="Q37" s="114">
        <v>2.9405359575078598</v>
      </c>
      <c r="R37" s="69" t="s">
        <v>181</v>
      </c>
    </row>
    <row r="38" spans="1:18" ht="25" customHeight="1" x14ac:dyDescent="0.35">
      <c r="A38" s="11" t="s">
        <v>218</v>
      </c>
      <c r="B38" s="8">
        <v>1769</v>
      </c>
      <c r="C38" s="8">
        <v>1746</v>
      </c>
      <c r="D38" s="8">
        <v>1809</v>
      </c>
      <c r="E38" s="8">
        <v>1878</v>
      </c>
      <c r="F38" s="8">
        <v>2064</v>
      </c>
      <c r="G38" s="8">
        <v>2057</v>
      </c>
      <c r="H38" s="8">
        <v>2037</v>
      </c>
      <c r="I38" s="8">
        <v>2172</v>
      </c>
      <c r="J38" s="8">
        <v>2161</v>
      </c>
      <c r="K38" s="8">
        <v>2083</v>
      </c>
      <c r="L38" s="8">
        <v>1961</v>
      </c>
      <c r="M38" s="8">
        <v>1963</v>
      </c>
      <c r="N38" s="8">
        <v>1930.1886034863501</v>
      </c>
      <c r="O38" s="53">
        <v>2068</v>
      </c>
      <c r="P38" s="114">
        <v>-6.66399402870627</v>
      </c>
      <c r="Q38" s="114">
        <v>-1.6714924357435399</v>
      </c>
      <c r="R38" s="69" t="s">
        <v>181</v>
      </c>
    </row>
    <row r="39" spans="1:18" ht="25" customHeight="1" x14ac:dyDescent="0.35">
      <c r="A39" s="11" t="s">
        <v>219</v>
      </c>
      <c r="B39" s="8">
        <v>8302</v>
      </c>
      <c r="C39" s="8">
        <v>8877</v>
      </c>
      <c r="D39" s="8">
        <v>11447</v>
      </c>
      <c r="E39" s="8">
        <v>8507</v>
      </c>
      <c r="F39" s="8">
        <v>8541</v>
      </c>
      <c r="G39" s="8">
        <v>9777</v>
      </c>
      <c r="H39" s="8">
        <v>11156</v>
      </c>
      <c r="I39" s="8">
        <v>12690</v>
      </c>
      <c r="J39" s="8">
        <v>13866</v>
      </c>
      <c r="K39" s="8">
        <v>13725</v>
      </c>
      <c r="L39" s="8">
        <v>11489</v>
      </c>
      <c r="M39" s="8">
        <v>11158</v>
      </c>
      <c r="N39" s="8">
        <v>12403.785</v>
      </c>
      <c r="O39" s="53">
        <v>12585.6</v>
      </c>
      <c r="P39" s="114">
        <v>-1.4446271929824599</v>
      </c>
      <c r="Q39" s="114">
        <v>11.1649489155763</v>
      </c>
      <c r="R39" s="69" t="s">
        <v>181</v>
      </c>
    </row>
    <row r="40" spans="1:18" ht="25" customHeight="1" x14ac:dyDescent="0.35">
      <c r="A40" s="11" t="s">
        <v>220</v>
      </c>
      <c r="B40" s="8">
        <v>12955</v>
      </c>
      <c r="C40" s="8">
        <v>7447</v>
      </c>
      <c r="D40" s="8">
        <v>30061</v>
      </c>
      <c r="E40" s="8">
        <v>40217</v>
      </c>
      <c r="F40" s="8">
        <v>34778</v>
      </c>
      <c r="G40" s="8">
        <v>32894</v>
      </c>
      <c r="H40" s="8">
        <v>26073</v>
      </c>
      <c r="I40" s="8">
        <v>27509</v>
      </c>
      <c r="J40" s="8">
        <v>25743</v>
      </c>
      <c r="K40" s="8">
        <v>24637</v>
      </c>
      <c r="L40" s="8">
        <v>23117</v>
      </c>
      <c r="M40" s="8">
        <v>28080</v>
      </c>
      <c r="N40" s="8">
        <v>23742.171050000001</v>
      </c>
      <c r="O40" s="53">
        <v>25817.200000000001</v>
      </c>
      <c r="P40" s="114">
        <v>-8.0373896084780707</v>
      </c>
      <c r="Q40" s="114">
        <v>-15.4481087962963</v>
      </c>
      <c r="R40" s="69" t="s">
        <v>181</v>
      </c>
    </row>
    <row r="41" spans="1:18" ht="25" customHeight="1" x14ac:dyDescent="0.35">
      <c r="A41" s="11" t="s">
        <v>221</v>
      </c>
      <c r="B41" s="8">
        <v>2875</v>
      </c>
      <c r="C41" s="8">
        <v>4463</v>
      </c>
      <c r="D41" s="8">
        <v>3049</v>
      </c>
      <c r="E41" s="8">
        <v>2791</v>
      </c>
      <c r="F41" s="8">
        <v>3781</v>
      </c>
      <c r="G41" s="8">
        <v>4066</v>
      </c>
      <c r="H41" s="8">
        <v>4679</v>
      </c>
      <c r="I41" s="8">
        <v>5556</v>
      </c>
      <c r="J41" s="8">
        <v>6288</v>
      </c>
      <c r="K41" s="8">
        <v>6746</v>
      </c>
      <c r="L41" s="8">
        <v>5508</v>
      </c>
      <c r="M41" s="8">
        <v>5279</v>
      </c>
      <c r="N41" s="8">
        <v>5745.3568999999998</v>
      </c>
      <c r="O41" s="53">
        <v>5875.4</v>
      </c>
      <c r="P41" s="114">
        <v>-2.2133488783742399</v>
      </c>
      <c r="Q41" s="114">
        <v>8.8341901875355102</v>
      </c>
      <c r="R41" s="69" t="s">
        <v>181</v>
      </c>
    </row>
    <row r="42" spans="1:18" ht="25" customHeight="1" x14ac:dyDescent="0.4">
      <c r="A42" s="12" t="s">
        <v>222</v>
      </c>
      <c r="B42" s="9">
        <v>15831</v>
      </c>
      <c r="C42" s="9">
        <v>11910</v>
      </c>
      <c r="D42" s="9">
        <v>33110</v>
      </c>
      <c r="E42" s="9">
        <v>43008</v>
      </c>
      <c r="F42" s="9">
        <v>38559</v>
      </c>
      <c r="G42" s="9">
        <v>36960</v>
      </c>
      <c r="H42" s="9">
        <v>30752</v>
      </c>
      <c r="I42" s="9">
        <v>33065</v>
      </c>
      <c r="J42" s="9">
        <v>32032</v>
      </c>
      <c r="K42" s="9">
        <v>31383</v>
      </c>
      <c r="L42" s="9">
        <v>28624</v>
      </c>
      <c r="M42" s="9">
        <v>33360</v>
      </c>
      <c r="N42" s="9">
        <v>29487.52795</v>
      </c>
      <c r="O42" s="54">
        <v>31692.799999999999</v>
      </c>
      <c r="P42" s="116">
        <v>-6.95827459233643</v>
      </c>
      <c r="Q42" s="116">
        <v>-11.608129646283</v>
      </c>
      <c r="R42" s="117" t="s">
        <v>181</v>
      </c>
    </row>
    <row r="43" spans="1:18" ht="25" customHeight="1" x14ac:dyDescent="0.4">
      <c r="A43" s="12" t="s">
        <v>223</v>
      </c>
      <c r="B43" s="9">
        <v>586761</v>
      </c>
      <c r="C43" s="9">
        <v>589017</v>
      </c>
      <c r="D43" s="9">
        <v>592698</v>
      </c>
      <c r="E43" s="9">
        <v>582243</v>
      </c>
      <c r="F43" s="9">
        <v>591330</v>
      </c>
      <c r="G43" s="9">
        <v>573850</v>
      </c>
      <c r="H43" s="9">
        <v>579661</v>
      </c>
      <c r="I43" s="9">
        <v>582495</v>
      </c>
      <c r="J43" s="9">
        <v>588802</v>
      </c>
      <c r="K43" s="9">
        <v>589180</v>
      </c>
      <c r="L43" s="9">
        <v>586607</v>
      </c>
      <c r="M43" s="9">
        <v>587513.36</v>
      </c>
      <c r="N43" s="9">
        <v>591160.23837716505</v>
      </c>
      <c r="O43" s="54">
        <v>586919.47199999995</v>
      </c>
      <c r="P43" s="116">
        <v>0.72254654675440999</v>
      </c>
      <c r="Q43" s="116">
        <v>0.62073113999742602</v>
      </c>
      <c r="R43" s="117" t="s">
        <v>181</v>
      </c>
    </row>
    <row r="44" spans="1:18" ht="25" customHeight="1" x14ac:dyDescent="0.35">
      <c r="A44" s="11" t="s">
        <v>224</v>
      </c>
      <c r="B44" s="8">
        <v>439061</v>
      </c>
      <c r="C44" s="8">
        <v>425742</v>
      </c>
      <c r="D44" s="8">
        <v>212964</v>
      </c>
      <c r="E44" s="8">
        <v>210080</v>
      </c>
      <c r="F44" s="8">
        <v>206254</v>
      </c>
      <c r="G44" s="8">
        <v>195236</v>
      </c>
      <c r="H44" s="8">
        <v>187429</v>
      </c>
      <c r="I44" s="8">
        <v>174388</v>
      </c>
      <c r="J44" s="8">
        <v>166844</v>
      </c>
      <c r="K44" s="8">
        <v>163801</v>
      </c>
      <c r="L44" s="8">
        <v>158266</v>
      </c>
      <c r="M44" s="8">
        <v>157132</v>
      </c>
      <c r="N44" s="8">
        <v>155715.354475</v>
      </c>
      <c r="O44" s="53">
        <v>164086.20000000001</v>
      </c>
      <c r="P44" s="114">
        <v>-5.1014927062726896</v>
      </c>
      <c r="Q44" s="114">
        <v>-0.90156398760278</v>
      </c>
      <c r="R44" s="69" t="s">
        <v>181</v>
      </c>
    </row>
    <row r="45" spans="1:18" ht="25" customHeight="1" x14ac:dyDescent="0.35">
      <c r="A45" s="11" t="s">
        <v>225</v>
      </c>
      <c r="B45" s="8">
        <v>882165</v>
      </c>
      <c r="C45" s="8">
        <v>882387</v>
      </c>
      <c r="D45" s="8">
        <v>1127964</v>
      </c>
      <c r="E45" s="8">
        <v>1117854</v>
      </c>
      <c r="F45" s="8">
        <v>1112554</v>
      </c>
      <c r="G45" s="8">
        <v>1111069</v>
      </c>
      <c r="H45" s="8">
        <v>1126627</v>
      </c>
      <c r="I45" s="8">
        <v>1142251</v>
      </c>
      <c r="J45" s="8">
        <v>1130056</v>
      </c>
      <c r="K45" s="8">
        <v>1139284</v>
      </c>
      <c r="L45" s="8">
        <v>1183201</v>
      </c>
      <c r="M45" s="8">
        <v>1152879</v>
      </c>
      <c r="N45" s="8">
        <v>1156031.4531749999</v>
      </c>
      <c r="O45" s="53">
        <v>1149534.2</v>
      </c>
      <c r="P45" s="114">
        <v>0.56520747055633203</v>
      </c>
      <c r="Q45" s="114">
        <v>0.27344180742297503</v>
      </c>
      <c r="R45" s="69" t="s">
        <v>181</v>
      </c>
    </row>
    <row r="46" spans="1:18" ht="25" customHeight="1" x14ac:dyDescent="0.4">
      <c r="A46" s="12" t="s">
        <v>226</v>
      </c>
      <c r="B46" s="9">
        <v>1321226</v>
      </c>
      <c r="C46" s="9">
        <v>1308129</v>
      </c>
      <c r="D46" s="9">
        <v>1340928</v>
      </c>
      <c r="E46" s="9">
        <v>1327934</v>
      </c>
      <c r="F46" s="9">
        <v>1318808</v>
      </c>
      <c r="G46" s="9">
        <v>1306305</v>
      </c>
      <c r="H46" s="9">
        <v>1314057</v>
      </c>
      <c r="I46" s="9">
        <v>1316640</v>
      </c>
      <c r="J46" s="9">
        <v>1296900</v>
      </c>
      <c r="K46" s="9">
        <v>1303085</v>
      </c>
      <c r="L46" s="9">
        <v>1341467</v>
      </c>
      <c r="M46" s="9">
        <v>1310011</v>
      </c>
      <c r="N46" s="9">
        <v>1311746.8076500001</v>
      </c>
      <c r="O46" s="54">
        <v>1313620.6000000001</v>
      </c>
      <c r="P46" s="116">
        <v>-0.14264334390005801</v>
      </c>
      <c r="Q46" s="116">
        <v>0.13250328814033499</v>
      </c>
      <c r="R46" s="117" t="s">
        <v>181</v>
      </c>
    </row>
    <row r="47" spans="1:18" ht="25" customHeight="1" x14ac:dyDescent="0.4">
      <c r="A47" s="12" t="s">
        <v>227</v>
      </c>
      <c r="B47" s="9">
        <v>1907987</v>
      </c>
      <c r="C47" s="9">
        <v>1897146</v>
      </c>
      <c r="D47" s="9">
        <v>1933625</v>
      </c>
      <c r="E47" s="9">
        <v>1910177</v>
      </c>
      <c r="F47" s="9">
        <v>1910138</v>
      </c>
      <c r="G47" s="9">
        <v>1880154</v>
      </c>
      <c r="H47" s="9">
        <v>1893718</v>
      </c>
      <c r="I47" s="9">
        <v>1899135</v>
      </c>
      <c r="J47" s="9">
        <v>1885701</v>
      </c>
      <c r="K47" s="9">
        <v>1892264</v>
      </c>
      <c r="L47" s="9">
        <v>1928074</v>
      </c>
      <c r="M47" s="9">
        <v>1897524.57</v>
      </c>
      <c r="N47" s="9">
        <v>1902907.04602717</v>
      </c>
      <c r="O47" s="54">
        <v>1900539.7139999999</v>
      </c>
      <c r="P47" s="116">
        <v>0.12456103967345</v>
      </c>
      <c r="Q47" s="116">
        <v>0.28365777773117701</v>
      </c>
      <c r="R47" s="117" t="s">
        <v>181</v>
      </c>
    </row>
    <row r="48" spans="1:18" ht="25" customHeight="1" x14ac:dyDescent="0.35">
      <c r="A48" s="11" t="s">
        <v>228</v>
      </c>
      <c r="B48" s="8">
        <v>3064184</v>
      </c>
      <c r="C48" s="8">
        <v>3056855</v>
      </c>
      <c r="D48" s="8">
        <v>2949100</v>
      </c>
      <c r="E48" s="8">
        <v>3084581</v>
      </c>
      <c r="F48" s="8">
        <v>3037615</v>
      </c>
      <c r="G48" s="8">
        <v>3044620</v>
      </c>
      <c r="H48" s="8">
        <v>3146714</v>
      </c>
      <c r="I48" s="8">
        <v>3094892</v>
      </c>
      <c r="J48" s="8">
        <v>3072535</v>
      </c>
      <c r="K48" s="8">
        <v>3170391</v>
      </c>
      <c r="L48" s="8">
        <v>2834650</v>
      </c>
      <c r="M48" s="8">
        <v>2693305</v>
      </c>
      <c r="N48" s="8">
        <v>2681176.36</v>
      </c>
      <c r="O48" s="53">
        <v>2973154.6</v>
      </c>
      <c r="P48" s="114">
        <v>-9.8204862942546001</v>
      </c>
      <c r="Q48" s="114">
        <v>-0.45032552941460902</v>
      </c>
      <c r="R48" s="69" t="s">
        <v>181</v>
      </c>
    </row>
    <row r="49" spans="1:18" ht="25" customHeight="1" x14ac:dyDescent="0.35">
      <c r="A49" s="11" t="s">
        <v>229</v>
      </c>
      <c r="B49" s="8">
        <v>631836</v>
      </c>
      <c r="C49" s="8">
        <v>641966</v>
      </c>
      <c r="D49" s="8">
        <v>693695</v>
      </c>
      <c r="E49" s="8">
        <v>657394</v>
      </c>
      <c r="F49" s="8">
        <v>620174</v>
      </c>
      <c r="G49" s="8">
        <v>679006</v>
      </c>
      <c r="H49" s="8">
        <v>619194</v>
      </c>
      <c r="I49" s="8">
        <v>646463</v>
      </c>
      <c r="J49" s="8">
        <v>682944</v>
      </c>
      <c r="K49" s="8">
        <v>592483</v>
      </c>
      <c r="L49" s="8">
        <v>567200</v>
      </c>
      <c r="M49" s="8">
        <v>564566</v>
      </c>
      <c r="N49" s="8">
        <v>440218.9</v>
      </c>
      <c r="O49" s="53">
        <v>610731.19999999995</v>
      </c>
      <c r="P49" s="114">
        <v>-27.9193694378149</v>
      </c>
      <c r="Q49" s="114">
        <v>-22.025254797490501</v>
      </c>
      <c r="R49" s="69" t="s">
        <v>230</v>
      </c>
    </row>
    <row r="50" spans="1:18" ht="25" customHeight="1" x14ac:dyDescent="0.4">
      <c r="A50" s="12" t="s">
        <v>231</v>
      </c>
      <c r="B50" s="9">
        <v>5604008</v>
      </c>
      <c r="C50" s="9">
        <v>5595967</v>
      </c>
      <c r="D50" s="9">
        <v>5576420</v>
      </c>
      <c r="E50" s="9">
        <v>5652152</v>
      </c>
      <c r="F50" s="9">
        <v>5567926</v>
      </c>
      <c r="G50" s="9">
        <v>5603780</v>
      </c>
      <c r="H50" s="9">
        <v>5659626</v>
      </c>
      <c r="I50" s="9">
        <v>5640490</v>
      </c>
      <c r="J50" s="9">
        <v>5641180</v>
      </c>
      <c r="K50" s="9">
        <v>5655138</v>
      </c>
      <c r="L50" s="9">
        <v>5329957</v>
      </c>
      <c r="M50" s="9">
        <v>5155396.3099999996</v>
      </c>
      <c r="N50" s="9">
        <v>5024302.3060271703</v>
      </c>
      <c r="O50" s="54">
        <v>5484432.2620000001</v>
      </c>
      <c r="P50" s="116">
        <v>-8.3897463582682601</v>
      </c>
      <c r="Q50" s="116">
        <v>-2.5428501727122099</v>
      </c>
      <c r="R50" s="117" t="s">
        <v>181</v>
      </c>
    </row>
    <row r="51" spans="1:18" ht="25" customHeight="1" x14ac:dyDescent="0.35">
      <c r="A51" s="119" t="s">
        <v>232</v>
      </c>
      <c r="B51" s="13">
        <v>583729</v>
      </c>
      <c r="C51" s="14">
        <v>584263</v>
      </c>
      <c r="D51" s="14">
        <v>584247</v>
      </c>
      <c r="E51" s="14">
        <v>584225</v>
      </c>
      <c r="F51" s="14">
        <v>584062</v>
      </c>
      <c r="G51" s="14">
        <v>579847</v>
      </c>
      <c r="H51" s="14">
        <v>581282</v>
      </c>
      <c r="I51" s="14">
        <v>578763</v>
      </c>
      <c r="J51" s="14">
        <v>575920</v>
      </c>
      <c r="K51" s="14">
        <v>579064</v>
      </c>
      <c r="L51" s="14">
        <v>579108</v>
      </c>
      <c r="M51" s="14">
        <v>579047</v>
      </c>
      <c r="N51" s="14">
        <v>578720.68000000005</v>
      </c>
      <c r="O51" s="120">
        <v>578380.4</v>
      </c>
      <c r="P51" s="121">
        <v>5.8833252302468698E-2</v>
      </c>
      <c r="Q51" s="122">
        <v>-5.6354665510735501E-2</v>
      </c>
      <c r="R51" s="123" t="s">
        <v>181</v>
      </c>
    </row>
  </sheetData>
  <hyperlinks>
    <hyperlink ref="A5" r:id="rId1" xr:uid="{00000000-0004-0000-0300-000000000000}"/>
  </hyperlinks>
  <pageMargins left="0.7" right="0.7" top="0.75" bottom="0.75" header="0.3" footer="0.3"/>
  <pageSetup paperSize="9" orientation="portrait"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49"/>
  <sheetViews>
    <sheetView showGridLines="0" zoomScaleNormal="100" workbookViewId="0"/>
  </sheetViews>
  <sheetFormatPr defaultColWidth="11.5625" defaultRowHeight="15" x14ac:dyDescent="0.35"/>
  <cols>
    <col min="1" max="1" width="50.6875" customWidth="1"/>
    <col min="2" max="17" width="15.5625" customWidth="1"/>
    <col min="18" max="18" width="29.3125" style="6" customWidth="1"/>
  </cols>
  <sheetData>
    <row r="1" spans="1:18" ht="20.149999999999999" x14ac:dyDescent="0.5">
      <c r="A1" s="1" t="s">
        <v>233</v>
      </c>
    </row>
    <row r="2" spans="1:18" x14ac:dyDescent="0.35">
      <c r="A2" t="s">
        <v>34</v>
      </c>
    </row>
    <row r="3" spans="1:18" x14ac:dyDescent="0.35">
      <c r="A3" t="s">
        <v>160</v>
      </c>
    </row>
    <row r="4" spans="1:18" x14ac:dyDescent="0.35">
      <c r="A4" s="3" t="str">
        <f>HYPERLINK("#Notes!A1", "Link to Notes table")</f>
        <v>Link to Notes table</v>
      </c>
    </row>
    <row r="5" spans="1:18" ht="15.45" thickBot="1" x14ac:dyDescent="0.4">
      <c r="A5" s="3" t="s">
        <v>161</v>
      </c>
    </row>
    <row r="6" spans="1:18" ht="46.75" thickBot="1" x14ac:dyDescent="0.45">
      <c r="A6" s="5" t="s">
        <v>234</v>
      </c>
      <c r="B6" s="10" t="s">
        <v>163</v>
      </c>
      <c r="C6" s="10" t="s">
        <v>164</v>
      </c>
      <c r="D6" s="10" t="s">
        <v>165</v>
      </c>
      <c r="E6" s="10" t="s">
        <v>166</v>
      </c>
      <c r="F6" s="10" t="s">
        <v>167</v>
      </c>
      <c r="G6" s="10" t="s">
        <v>168</v>
      </c>
      <c r="H6" s="10" t="s">
        <v>169</v>
      </c>
      <c r="I6" s="10" t="s">
        <v>170</v>
      </c>
      <c r="J6" s="10" t="s">
        <v>171</v>
      </c>
      <c r="K6" s="10" t="s">
        <v>172</v>
      </c>
      <c r="L6" s="10" t="s">
        <v>173</v>
      </c>
      <c r="M6" s="10" t="s">
        <v>174</v>
      </c>
      <c r="N6" s="19" t="s">
        <v>175</v>
      </c>
      <c r="O6" s="19" t="s">
        <v>176</v>
      </c>
      <c r="P6" s="19" t="s">
        <v>177</v>
      </c>
      <c r="Q6" s="10" t="s">
        <v>178</v>
      </c>
      <c r="R6" s="124" t="s">
        <v>179</v>
      </c>
    </row>
    <row r="7" spans="1:18" ht="25" customHeight="1" x14ac:dyDescent="0.35">
      <c r="A7" s="11" t="s">
        <v>235</v>
      </c>
      <c r="B7" s="8">
        <v>6559</v>
      </c>
      <c r="C7" s="8">
        <v>6922</v>
      </c>
      <c r="D7" s="8">
        <v>7029</v>
      </c>
      <c r="E7" s="8">
        <v>7540</v>
      </c>
      <c r="F7" s="8">
        <v>7808</v>
      </c>
      <c r="G7" s="8">
        <v>8140</v>
      </c>
      <c r="H7" s="8">
        <v>8142</v>
      </c>
      <c r="I7" s="8">
        <v>8907</v>
      </c>
      <c r="J7" s="8">
        <v>9458</v>
      </c>
      <c r="K7" s="8">
        <v>9336</v>
      </c>
      <c r="L7" s="8">
        <v>9259</v>
      </c>
      <c r="M7" s="8">
        <v>10079</v>
      </c>
      <c r="N7" s="20">
        <v>10420.2803504652</v>
      </c>
      <c r="O7" s="20">
        <v>9407.7999999999993</v>
      </c>
      <c r="P7" s="125">
        <v>10.8</v>
      </c>
      <c r="Q7" s="126">
        <v>3.4</v>
      </c>
      <c r="R7" s="127" t="s">
        <v>181</v>
      </c>
    </row>
    <row r="8" spans="1:18" ht="25" customHeight="1" x14ac:dyDescent="0.35">
      <c r="A8" s="11" t="s">
        <v>236</v>
      </c>
      <c r="B8" s="8">
        <v>1153</v>
      </c>
      <c r="C8" s="8">
        <v>1018</v>
      </c>
      <c r="D8" s="8">
        <v>1469</v>
      </c>
      <c r="E8" s="8">
        <v>1789</v>
      </c>
      <c r="F8" s="8">
        <v>1767</v>
      </c>
      <c r="G8" s="8">
        <v>1813</v>
      </c>
      <c r="H8" s="8">
        <v>1800</v>
      </c>
      <c r="I8" s="8">
        <v>2305</v>
      </c>
      <c r="J8" s="8">
        <v>2294</v>
      </c>
      <c r="K8" s="8">
        <v>2225</v>
      </c>
      <c r="L8" s="8">
        <v>2584</v>
      </c>
      <c r="M8" s="8">
        <v>2250</v>
      </c>
      <c r="N8" s="20">
        <v>2313.8013651175502</v>
      </c>
      <c r="O8" s="20">
        <v>2331.6</v>
      </c>
      <c r="P8" s="125">
        <v>-0.8</v>
      </c>
      <c r="Q8" s="126">
        <v>2.8</v>
      </c>
      <c r="R8" s="127" t="s">
        <v>181</v>
      </c>
    </row>
    <row r="9" spans="1:18" ht="25" customHeight="1" x14ac:dyDescent="0.35">
      <c r="A9" s="11" t="s">
        <v>207</v>
      </c>
      <c r="B9" s="8">
        <v>1644</v>
      </c>
      <c r="C9" s="8">
        <v>1516</v>
      </c>
      <c r="D9" s="8">
        <v>1479</v>
      </c>
      <c r="E9" s="8">
        <v>1491</v>
      </c>
      <c r="F9" s="8">
        <v>1413</v>
      </c>
      <c r="G9" s="8">
        <v>1351</v>
      </c>
      <c r="H9" s="8">
        <v>1359</v>
      </c>
      <c r="I9" s="8">
        <v>1606</v>
      </c>
      <c r="J9" s="8">
        <v>1621</v>
      </c>
      <c r="K9" s="8">
        <v>1483</v>
      </c>
      <c r="L9" s="8">
        <v>1592</v>
      </c>
      <c r="M9" s="8">
        <v>1437</v>
      </c>
      <c r="N9" s="20">
        <v>1524.1374889368899</v>
      </c>
      <c r="O9" s="20">
        <v>1547.8</v>
      </c>
      <c r="P9" s="125">
        <v>-1.5</v>
      </c>
      <c r="Q9" s="126">
        <v>6.1</v>
      </c>
      <c r="R9" s="127" t="s">
        <v>181</v>
      </c>
    </row>
    <row r="10" spans="1:18" ht="25" customHeight="1" x14ac:dyDescent="0.35">
      <c r="A10" s="11" t="s">
        <v>237</v>
      </c>
      <c r="B10" s="8">
        <v>1325</v>
      </c>
      <c r="C10" s="8">
        <v>1304</v>
      </c>
      <c r="D10" s="8">
        <v>1513</v>
      </c>
      <c r="E10" s="8">
        <v>1575</v>
      </c>
      <c r="F10" s="8">
        <v>1794</v>
      </c>
      <c r="G10" s="8">
        <v>1478</v>
      </c>
      <c r="H10" s="8">
        <v>1487</v>
      </c>
      <c r="I10" s="8">
        <v>1665</v>
      </c>
      <c r="J10" s="8">
        <v>1779</v>
      </c>
      <c r="K10" s="8">
        <v>1233</v>
      </c>
      <c r="L10" s="8">
        <v>1730</v>
      </c>
      <c r="M10" s="8">
        <v>1823</v>
      </c>
      <c r="N10" s="20">
        <v>1790.43003260044</v>
      </c>
      <c r="O10" s="20">
        <v>1646</v>
      </c>
      <c r="P10" s="125">
        <v>8.8000000000000007</v>
      </c>
      <c r="Q10" s="126">
        <v>-1.8</v>
      </c>
      <c r="R10" s="127" t="s">
        <v>181</v>
      </c>
    </row>
    <row r="11" spans="1:18" ht="25" customHeight="1" x14ac:dyDescent="0.35">
      <c r="A11" s="11" t="s">
        <v>238</v>
      </c>
      <c r="B11" s="8">
        <v>152</v>
      </c>
      <c r="C11" s="8">
        <v>186</v>
      </c>
      <c r="D11" s="8">
        <v>218</v>
      </c>
      <c r="E11" s="8">
        <v>309</v>
      </c>
      <c r="F11" s="8">
        <v>330</v>
      </c>
      <c r="G11" s="8">
        <v>355</v>
      </c>
      <c r="H11" s="8">
        <v>298</v>
      </c>
      <c r="I11" s="8">
        <v>533</v>
      </c>
      <c r="J11" s="8">
        <v>588</v>
      </c>
      <c r="K11" s="8">
        <v>503</v>
      </c>
      <c r="L11" s="8">
        <v>489</v>
      </c>
      <c r="M11" s="8">
        <v>461</v>
      </c>
      <c r="N11" s="20">
        <v>587.31184033879595</v>
      </c>
      <c r="O11" s="20">
        <v>514.79999999999995</v>
      </c>
      <c r="P11" s="125">
        <v>14.1</v>
      </c>
      <c r="Q11" s="126">
        <v>27.4</v>
      </c>
      <c r="R11" s="127" t="s">
        <v>181</v>
      </c>
    </row>
    <row r="12" spans="1:18" ht="25" customHeight="1" x14ac:dyDescent="0.35">
      <c r="A12" s="11" t="s">
        <v>239</v>
      </c>
      <c r="B12" s="8">
        <v>2836</v>
      </c>
      <c r="C12" s="8">
        <v>3100</v>
      </c>
      <c r="D12" s="8">
        <v>2877</v>
      </c>
      <c r="E12" s="8">
        <v>3252</v>
      </c>
      <c r="F12" s="8">
        <v>3752</v>
      </c>
      <c r="G12" s="8">
        <v>3460</v>
      </c>
      <c r="H12" s="8">
        <v>3325</v>
      </c>
      <c r="I12" s="8">
        <v>3207</v>
      </c>
      <c r="J12" s="8">
        <v>3450</v>
      </c>
      <c r="K12" s="8">
        <v>3570</v>
      </c>
      <c r="L12" s="8">
        <v>3257</v>
      </c>
      <c r="M12" s="8">
        <v>3284</v>
      </c>
      <c r="N12" s="20">
        <v>3515.1711516698801</v>
      </c>
      <c r="O12" s="20">
        <v>3353.6</v>
      </c>
      <c r="P12" s="125">
        <v>4.8</v>
      </c>
      <c r="Q12" s="126">
        <v>7</v>
      </c>
      <c r="R12" s="127" t="s">
        <v>181</v>
      </c>
    </row>
    <row r="13" spans="1:18" ht="25" customHeight="1" x14ac:dyDescent="0.35">
      <c r="A13" s="11" t="s">
        <v>240</v>
      </c>
      <c r="B13" s="8">
        <v>2233</v>
      </c>
      <c r="C13" s="8">
        <v>2217</v>
      </c>
      <c r="D13" s="8">
        <v>2086</v>
      </c>
      <c r="E13" s="8">
        <v>2211</v>
      </c>
      <c r="F13" s="8">
        <v>2472</v>
      </c>
      <c r="G13" s="8">
        <v>2292</v>
      </c>
      <c r="H13" s="8">
        <v>2214</v>
      </c>
      <c r="I13" s="8">
        <v>2773</v>
      </c>
      <c r="J13" s="8">
        <v>2876</v>
      </c>
      <c r="K13" s="8">
        <v>2706</v>
      </c>
      <c r="L13" s="8">
        <v>2555</v>
      </c>
      <c r="M13" s="8">
        <v>2611</v>
      </c>
      <c r="N13" s="20">
        <v>2521.1608208712601</v>
      </c>
      <c r="O13" s="20">
        <v>2704.2</v>
      </c>
      <c r="P13" s="125">
        <v>-6.8</v>
      </c>
      <c r="Q13" s="126">
        <v>-3.4</v>
      </c>
      <c r="R13" s="127" t="s">
        <v>181</v>
      </c>
    </row>
    <row r="14" spans="1:18" ht="25" customHeight="1" x14ac:dyDescent="0.4">
      <c r="A14" s="12" t="s">
        <v>241</v>
      </c>
      <c r="B14" s="9">
        <v>15902</v>
      </c>
      <c r="C14" s="9">
        <v>16262</v>
      </c>
      <c r="D14" s="9">
        <v>16672</v>
      </c>
      <c r="E14" s="9">
        <v>18168</v>
      </c>
      <c r="F14" s="9">
        <v>19336</v>
      </c>
      <c r="G14" s="9">
        <v>18888</v>
      </c>
      <c r="H14" s="9">
        <v>18624</v>
      </c>
      <c r="I14" s="9">
        <v>20996</v>
      </c>
      <c r="J14" s="9">
        <v>22066</v>
      </c>
      <c r="K14" s="9">
        <v>21057</v>
      </c>
      <c r="L14" s="9">
        <v>21467</v>
      </c>
      <c r="M14" s="9">
        <v>21944</v>
      </c>
      <c r="N14" s="21">
        <v>22672.29305</v>
      </c>
      <c r="O14" s="21">
        <v>21506</v>
      </c>
      <c r="P14" s="128">
        <v>5.4</v>
      </c>
      <c r="Q14" s="129">
        <v>3.3</v>
      </c>
      <c r="R14" s="130" t="s">
        <v>181</v>
      </c>
    </row>
    <row r="15" spans="1:18" ht="25" customHeight="1" x14ac:dyDescent="0.4">
      <c r="A15" s="12" t="s">
        <v>242</v>
      </c>
      <c r="B15" s="9">
        <v>1184</v>
      </c>
      <c r="C15" s="9">
        <v>1276</v>
      </c>
      <c r="D15" s="9">
        <v>946</v>
      </c>
      <c r="E15" s="9">
        <v>942</v>
      </c>
      <c r="F15" s="9">
        <v>964</v>
      </c>
      <c r="G15" s="9">
        <v>960</v>
      </c>
      <c r="H15" s="9">
        <v>976</v>
      </c>
      <c r="I15" s="9">
        <v>1341</v>
      </c>
      <c r="J15" s="9">
        <v>1518</v>
      </c>
      <c r="K15" s="9">
        <v>1421</v>
      </c>
      <c r="L15" s="9">
        <v>1242</v>
      </c>
      <c r="M15" s="9">
        <v>1342</v>
      </c>
      <c r="N15" s="21">
        <v>1429.5611249999999</v>
      </c>
      <c r="O15" s="21">
        <v>1372.8</v>
      </c>
      <c r="P15" s="128">
        <v>4.0999999999999996</v>
      </c>
      <c r="Q15" s="129">
        <v>6.5</v>
      </c>
      <c r="R15" s="130" t="s">
        <v>181</v>
      </c>
    </row>
    <row r="16" spans="1:18" ht="25" customHeight="1" x14ac:dyDescent="0.35">
      <c r="A16" s="11" t="s">
        <v>243</v>
      </c>
      <c r="B16" s="8">
        <v>141</v>
      </c>
      <c r="C16" s="8">
        <v>95</v>
      </c>
      <c r="D16" s="8">
        <v>23</v>
      </c>
      <c r="E16" s="8">
        <v>73</v>
      </c>
      <c r="F16" s="8">
        <v>77</v>
      </c>
      <c r="G16" s="8">
        <v>27</v>
      </c>
      <c r="H16" s="8">
        <v>32</v>
      </c>
      <c r="I16" s="8">
        <v>29</v>
      </c>
      <c r="J16" s="8">
        <v>36</v>
      </c>
      <c r="K16" s="8">
        <v>43</v>
      </c>
      <c r="L16" s="8">
        <v>23</v>
      </c>
      <c r="M16" s="8">
        <v>29</v>
      </c>
      <c r="N16" s="20">
        <v>29.296104221459</v>
      </c>
      <c r="O16" s="20">
        <v>32</v>
      </c>
      <c r="P16" s="125">
        <v>-8.4</v>
      </c>
      <c r="Q16" s="126">
        <v>1</v>
      </c>
      <c r="R16" s="127" t="s">
        <v>244</v>
      </c>
    </row>
    <row r="17" spans="1:18" ht="25" customHeight="1" x14ac:dyDescent="0.35">
      <c r="A17" s="11" t="s">
        <v>245</v>
      </c>
      <c r="B17" s="8">
        <v>185</v>
      </c>
      <c r="C17" s="8">
        <v>123</v>
      </c>
      <c r="D17" s="8">
        <v>148</v>
      </c>
      <c r="E17" s="8">
        <v>128</v>
      </c>
      <c r="F17" s="8">
        <v>127</v>
      </c>
      <c r="G17" s="8">
        <v>109</v>
      </c>
      <c r="H17" s="8">
        <v>89</v>
      </c>
      <c r="I17" s="8">
        <v>72</v>
      </c>
      <c r="J17" s="8">
        <v>91</v>
      </c>
      <c r="K17" s="8">
        <v>105</v>
      </c>
      <c r="L17" s="8">
        <v>69</v>
      </c>
      <c r="M17" s="8">
        <v>59</v>
      </c>
      <c r="N17" s="20">
        <v>40.180749660817</v>
      </c>
      <c r="O17" s="20">
        <v>79.2</v>
      </c>
      <c r="P17" s="125">
        <v>-49.3</v>
      </c>
      <c r="Q17" s="126">
        <v>-31.9</v>
      </c>
      <c r="R17" s="127" t="s">
        <v>244</v>
      </c>
    </row>
    <row r="18" spans="1:18" ht="25" customHeight="1" x14ac:dyDescent="0.35">
      <c r="A18" s="11" t="s">
        <v>246</v>
      </c>
      <c r="B18" s="8" t="s">
        <v>190</v>
      </c>
      <c r="C18" s="8">
        <v>18</v>
      </c>
      <c r="D18" s="8">
        <v>35</v>
      </c>
      <c r="E18" s="8">
        <v>18</v>
      </c>
      <c r="F18" s="8">
        <v>25</v>
      </c>
      <c r="G18" s="8">
        <v>30</v>
      </c>
      <c r="H18" s="8">
        <v>30</v>
      </c>
      <c r="I18" s="8">
        <v>25</v>
      </c>
      <c r="J18" s="8">
        <v>27</v>
      </c>
      <c r="K18" s="8">
        <v>24</v>
      </c>
      <c r="L18" s="8">
        <v>21</v>
      </c>
      <c r="M18" s="8">
        <v>19</v>
      </c>
      <c r="N18" s="20">
        <v>14.894592218883099</v>
      </c>
      <c r="O18" s="20">
        <v>23.2</v>
      </c>
      <c r="P18" s="125">
        <v>-35.799999999999997</v>
      </c>
      <c r="Q18" s="126">
        <v>-21.6</v>
      </c>
      <c r="R18" s="127" t="s">
        <v>181</v>
      </c>
    </row>
    <row r="19" spans="1:18" ht="25" customHeight="1" x14ac:dyDescent="0.35">
      <c r="A19" s="11" t="s">
        <v>247</v>
      </c>
      <c r="B19" s="8">
        <v>458</v>
      </c>
      <c r="C19" s="8">
        <v>432</v>
      </c>
      <c r="D19" s="8">
        <v>391</v>
      </c>
      <c r="E19" s="8">
        <v>386</v>
      </c>
      <c r="F19" s="8">
        <v>487</v>
      </c>
      <c r="G19" s="8">
        <v>397</v>
      </c>
      <c r="H19" s="8">
        <v>391</v>
      </c>
      <c r="I19" s="8">
        <v>435</v>
      </c>
      <c r="J19" s="8">
        <v>442</v>
      </c>
      <c r="K19" s="8">
        <v>450</v>
      </c>
      <c r="L19" s="8">
        <v>486</v>
      </c>
      <c r="M19" s="8">
        <v>509</v>
      </c>
      <c r="N19" s="20">
        <v>536.10739272000103</v>
      </c>
      <c r="O19" s="20">
        <v>464.4</v>
      </c>
      <c r="P19" s="125">
        <v>15.4</v>
      </c>
      <c r="Q19" s="126">
        <v>5.3</v>
      </c>
      <c r="R19" s="127" t="s">
        <v>181</v>
      </c>
    </row>
    <row r="20" spans="1:18" ht="25" customHeight="1" x14ac:dyDescent="0.4">
      <c r="A20" s="12" t="s">
        <v>248</v>
      </c>
      <c r="B20" s="9">
        <v>783</v>
      </c>
      <c r="C20" s="9">
        <v>668</v>
      </c>
      <c r="D20" s="9">
        <v>597</v>
      </c>
      <c r="E20" s="9">
        <v>604</v>
      </c>
      <c r="F20" s="9">
        <v>716</v>
      </c>
      <c r="G20" s="9">
        <v>563</v>
      </c>
      <c r="H20" s="9">
        <v>541</v>
      </c>
      <c r="I20" s="9">
        <v>561</v>
      </c>
      <c r="J20" s="9">
        <v>596</v>
      </c>
      <c r="K20" s="9">
        <v>621</v>
      </c>
      <c r="L20" s="9">
        <v>599</v>
      </c>
      <c r="M20" s="9">
        <v>615</v>
      </c>
      <c r="N20" s="21">
        <v>620.47883882116002</v>
      </c>
      <c r="O20" s="21">
        <v>598.4</v>
      </c>
      <c r="P20" s="128">
        <v>3.7</v>
      </c>
      <c r="Q20" s="129">
        <v>0.9</v>
      </c>
      <c r="R20" s="130" t="s">
        <v>181</v>
      </c>
    </row>
    <row r="21" spans="1:18" ht="25" customHeight="1" x14ac:dyDescent="0.35">
      <c r="A21" s="11" t="s">
        <v>249</v>
      </c>
      <c r="B21" s="8">
        <v>3</v>
      </c>
      <c r="C21" s="8">
        <v>2</v>
      </c>
      <c r="D21" s="8">
        <v>3</v>
      </c>
      <c r="E21" s="8">
        <v>2</v>
      </c>
      <c r="F21" s="8">
        <v>3</v>
      </c>
      <c r="G21" s="8">
        <v>3</v>
      </c>
      <c r="H21" s="8">
        <v>3</v>
      </c>
      <c r="I21" s="8">
        <v>3</v>
      </c>
      <c r="J21" s="8">
        <v>2</v>
      </c>
      <c r="K21" s="8">
        <v>1</v>
      </c>
      <c r="L21" s="8">
        <v>1</v>
      </c>
      <c r="M21" s="8">
        <v>3</v>
      </c>
      <c r="N21" s="20">
        <v>3.1579058941882598</v>
      </c>
      <c r="O21" s="20">
        <v>2</v>
      </c>
      <c r="P21" s="125">
        <v>57.9</v>
      </c>
      <c r="Q21" s="126">
        <v>5.3</v>
      </c>
      <c r="R21" s="127" t="s">
        <v>181</v>
      </c>
    </row>
    <row r="22" spans="1:18" ht="25" customHeight="1" x14ac:dyDescent="0.35">
      <c r="A22" s="11" t="s">
        <v>250</v>
      </c>
      <c r="B22" s="8">
        <v>771</v>
      </c>
      <c r="C22" s="8">
        <v>818</v>
      </c>
      <c r="D22" s="8">
        <v>916</v>
      </c>
      <c r="E22" s="8">
        <v>920</v>
      </c>
      <c r="F22" s="8">
        <v>981</v>
      </c>
      <c r="G22" s="8">
        <v>1106</v>
      </c>
      <c r="H22" s="8">
        <v>1100</v>
      </c>
      <c r="I22" s="8">
        <v>1165</v>
      </c>
      <c r="J22" s="8">
        <v>1151</v>
      </c>
      <c r="K22" s="8">
        <v>1065</v>
      </c>
      <c r="L22" s="8">
        <v>992</v>
      </c>
      <c r="M22" s="8">
        <v>969</v>
      </c>
      <c r="N22" s="20">
        <v>928.55621391456702</v>
      </c>
      <c r="O22" s="20">
        <v>1068.4000000000001</v>
      </c>
      <c r="P22" s="125">
        <v>-13.1</v>
      </c>
      <c r="Q22" s="126">
        <v>-4.2</v>
      </c>
      <c r="R22" s="131"/>
    </row>
    <row r="23" spans="1:18" ht="25" customHeight="1" x14ac:dyDescent="0.35">
      <c r="A23" s="11" t="s">
        <v>251</v>
      </c>
      <c r="B23" s="8">
        <v>175</v>
      </c>
      <c r="C23" s="8">
        <v>188</v>
      </c>
      <c r="D23" s="8">
        <v>203</v>
      </c>
      <c r="E23" s="8">
        <v>199</v>
      </c>
      <c r="F23" s="8">
        <v>172</v>
      </c>
      <c r="G23" s="8">
        <v>162</v>
      </c>
      <c r="H23" s="8">
        <v>165</v>
      </c>
      <c r="I23" s="8">
        <v>169</v>
      </c>
      <c r="J23" s="8">
        <v>152</v>
      </c>
      <c r="K23" s="8">
        <v>141</v>
      </c>
      <c r="L23" s="8">
        <v>131</v>
      </c>
      <c r="M23" s="8">
        <v>131</v>
      </c>
      <c r="N23" s="20">
        <v>154.85218889602001</v>
      </c>
      <c r="O23" s="20">
        <v>144.80000000000001</v>
      </c>
      <c r="P23" s="125">
        <v>6.9</v>
      </c>
      <c r="Q23" s="126">
        <v>18.2</v>
      </c>
      <c r="R23" s="131"/>
    </row>
    <row r="24" spans="1:18" ht="25" customHeight="1" x14ac:dyDescent="0.35">
      <c r="A24" s="11" t="s">
        <v>252</v>
      </c>
      <c r="B24" s="8" t="s">
        <v>190</v>
      </c>
      <c r="C24" s="8">
        <v>27</v>
      </c>
      <c r="D24" s="8">
        <v>85</v>
      </c>
      <c r="E24" s="8">
        <v>115</v>
      </c>
      <c r="F24" s="8">
        <v>159</v>
      </c>
      <c r="G24" s="8">
        <v>189</v>
      </c>
      <c r="H24" s="8">
        <v>205</v>
      </c>
      <c r="I24" s="8">
        <v>239</v>
      </c>
      <c r="J24" s="8">
        <v>226</v>
      </c>
      <c r="K24" s="8">
        <v>217</v>
      </c>
      <c r="L24" s="8">
        <v>220</v>
      </c>
      <c r="M24" s="8">
        <v>220</v>
      </c>
      <c r="N24" s="20">
        <v>207.20621619443199</v>
      </c>
      <c r="O24" s="20">
        <v>224.4</v>
      </c>
      <c r="P24" s="125">
        <v>-7.7</v>
      </c>
      <c r="Q24" s="126">
        <v>-5.8</v>
      </c>
      <c r="R24" s="127" t="s">
        <v>181</v>
      </c>
    </row>
    <row r="25" spans="1:18" ht="25" customHeight="1" x14ac:dyDescent="0.35">
      <c r="A25" s="11" t="s">
        <v>253</v>
      </c>
      <c r="B25" s="8">
        <v>36</v>
      </c>
      <c r="C25" s="8">
        <v>42</v>
      </c>
      <c r="D25" s="8">
        <v>5</v>
      </c>
      <c r="E25" s="8">
        <v>39</v>
      </c>
      <c r="F25" s="8">
        <v>34</v>
      </c>
      <c r="G25" s="8">
        <v>34</v>
      </c>
      <c r="H25" s="8">
        <v>22</v>
      </c>
      <c r="I25" s="8">
        <v>34</v>
      </c>
      <c r="J25" s="8">
        <v>35</v>
      </c>
      <c r="K25" s="8">
        <v>38</v>
      </c>
      <c r="L25" s="8">
        <v>18</v>
      </c>
      <c r="M25" s="8">
        <v>23</v>
      </c>
      <c r="N25" s="20">
        <v>15.9372397659866</v>
      </c>
      <c r="O25" s="20">
        <v>29.6</v>
      </c>
      <c r="P25" s="125">
        <v>-46.2</v>
      </c>
      <c r="Q25" s="126">
        <v>-30.7</v>
      </c>
      <c r="R25" s="127" t="s">
        <v>181</v>
      </c>
    </row>
    <row r="26" spans="1:18" ht="25" customHeight="1" x14ac:dyDescent="0.35">
      <c r="A26" s="11" t="s">
        <v>254</v>
      </c>
      <c r="B26" s="8">
        <v>12</v>
      </c>
      <c r="C26" s="8">
        <v>9</v>
      </c>
      <c r="D26" s="8">
        <v>9</v>
      </c>
      <c r="E26" s="8">
        <v>10</v>
      </c>
      <c r="F26" s="8">
        <v>20</v>
      </c>
      <c r="G26" s="8">
        <v>14</v>
      </c>
      <c r="H26" s="8">
        <v>12</v>
      </c>
      <c r="I26" s="8">
        <v>23</v>
      </c>
      <c r="J26" s="8">
        <v>17</v>
      </c>
      <c r="K26" s="8">
        <v>17</v>
      </c>
      <c r="L26" s="8">
        <v>3</v>
      </c>
      <c r="M26" s="8">
        <v>15</v>
      </c>
      <c r="N26" s="20">
        <v>13.559620647740999</v>
      </c>
      <c r="O26" s="20">
        <v>15</v>
      </c>
      <c r="P26" s="125">
        <v>-9.6</v>
      </c>
      <c r="Q26" s="126">
        <v>-9.6</v>
      </c>
      <c r="R26" s="127" t="s">
        <v>181</v>
      </c>
    </row>
    <row r="27" spans="1:18" ht="25" customHeight="1" x14ac:dyDescent="0.35">
      <c r="A27" s="11" t="s">
        <v>255</v>
      </c>
      <c r="B27" s="8">
        <v>17</v>
      </c>
      <c r="C27" s="8">
        <v>16</v>
      </c>
      <c r="D27" s="8">
        <v>15</v>
      </c>
      <c r="E27" s="8">
        <v>14</v>
      </c>
      <c r="F27" s="8">
        <v>14</v>
      </c>
      <c r="G27" s="8">
        <v>17</v>
      </c>
      <c r="H27" s="8">
        <v>19</v>
      </c>
      <c r="I27" s="8">
        <v>18</v>
      </c>
      <c r="J27" s="8">
        <v>14</v>
      </c>
      <c r="K27" s="8">
        <v>14</v>
      </c>
      <c r="L27" s="8">
        <v>9</v>
      </c>
      <c r="M27" s="8">
        <v>5</v>
      </c>
      <c r="N27" s="20">
        <v>5.9149861672107198</v>
      </c>
      <c r="O27" s="20">
        <v>12</v>
      </c>
      <c r="P27" s="125">
        <v>-50.7</v>
      </c>
      <c r="Q27" s="126">
        <v>18.3</v>
      </c>
      <c r="R27" s="127" t="s">
        <v>181</v>
      </c>
    </row>
    <row r="28" spans="1:18" ht="25" customHeight="1" x14ac:dyDescent="0.35">
      <c r="A28" s="11" t="s">
        <v>256</v>
      </c>
      <c r="B28" s="8">
        <v>15</v>
      </c>
      <c r="C28" s="8">
        <v>14</v>
      </c>
      <c r="D28" s="8">
        <v>16</v>
      </c>
      <c r="E28" s="8">
        <v>12</v>
      </c>
      <c r="F28" s="8">
        <v>21</v>
      </c>
      <c r="G28" s="8">
        <v>14</v>
      </c>
      <c r="H28" s="8">
        <v>24</v>
      </c>
      <c r="I28" s="8">
        <v>21</v>
      </c>
      <c r="J28" s="8">
        <v>21</v>
      </c>
      <c r="K28" s="8">
        <v>21</v>
      </c>
      <c r="L28" s="8">
        <v>9</v>
      </c>
      <c r="M28" s="8">
        <v>35</v>
      </c>
      <c r="N28" s="20">
        <v>32.215776983923</v>
      </c>
      <c r="O28" s="20">
        <v>21.4</v>
      </c>
      <c r="P28" s="125">
        <v>50.5</v>
      </c>
      <c r="Q28" s="126">
        <v>-8</v>
      </c>
      <c r="R28" s="127" t="s">
        <v>181</v>
      </c>
    </row>
    <row r="29" spans="1:18" ht="25" customHeight="1" x14ac:dyDescent="0.35">
      <c r="A29" s="11" t="s">
        <v>257</v>
      </c>
      <c r="B29" s="8" t="s">
        <v>190</v>
      </c>
      <c r="C29" s="8" t="s">
        <v>190</v>
      </c>
      <c r="D29" s="8">
        <v>20</v>
      </c>
      <c r="E29" s="8">
        <v>23</v>
      </c>
      <c r="F29" s="8">
        <v>11</v>
      </c>
      <c r="G29" s="8">
        <v>14</v>
      </c>
      <c r="H29" s="8">
        <v>5</v>
      </c>
      <c r="I29" s="8">
        <v>4</v>
      </c>
      <c r="J29" s="8">
        <v>6</v>
      </c>
      <c r="K29" s="8">
        <v>6</v>
      </c>
      <c r="L29" s="8">
        <v>27</v>
      </c>
      <c r="M29" s="8">
        <v>28</v>
      </c>
      <c r="N29" s="20">
        <v>24.904140000000002</v>
      </c>
      <c r="O29" s="20">
        <v>14.2</v>
      </c>
      <c r="P29" s="125">
        <v>75.400000000000006</v>
      </c>
      <c r="Q29" s="126">
        <v>-11.1</v>
      </c>
      <c r="R29" s="127" t="s">
        <v>181</v>
      </c>
    </row>
    <row r="30" spans="1:18" ht="25" customHeight="1" x14ac:dyDescent="0.4">
      <c r="A30" s="12" t="s">
        <v>258</v>
      </c>
      <c r="B30" s="9">
        <v>1038</v>
      </c>
      <c r="C30" s="9">
        <v>1121</v>
      </c>
      <c r="D30" s="9">
        <v>1271</v>
      </c>
      <c r="E30" s="9">
        <v>1332</v>
      </c>
      <c r="F30" s="9">
        <v>1415</v>
      </c>
      <c r="G30" s="9">
        <v>1547</v>
      </c>
      <c r="H30" s="9">
        <v>1555</v>
      </c>
      <c r="I30" s="9">
        <v>1669</v>
      </c>
      <c r="J30" s="9">
        <v>1622</v>
      </c>
      <c r="K30" s="9">
        <v>1519</v>
      </c>
      <c r="L30" s="9">
        <v>1410</v>
      </c>
      <c r="M30" s="9">
        <v>1473</v>
      </c>
      <c r="N30" s="21">
        <v>1422.7426324</v>
      </c>
      <c r="O30" s="21">
        <v>1538.6</v>
      </c>
      <c r="P30" s="128">
        <v>-7.5</v>
      </c>
      <c r="Q30" s="129">
        <v>-3.4</v>
      </c>
      <c r="R30" s="130" t="s">
        <v>181</v>
      </c>
    </row>
    <row r="31" spans="1:18" ht="25" customHeight="1" x14ac:dyDescent="0.35">
      <c r="A31" s="11" t="s">
        <v>259</v>
      </c>
      <c r="B31" s="8">
        <v>911</v>
      </c>
      <c r="C31" s="8">
        <v>913</v>
      </c>
      <c r="D31" s="8">
        <v>939</v>
      </c>
      <c r="E31" s="8">
        <v>993</v>
      </c>
      <c r="F31" s="8">
        <v>1058</v>
      </c>
      <c r="G31" s="8">
        <v>1133</v>
      </c>
      <c r="H31" s="8">
        <v>1132</v>
      </c>
      <c r="I31" s="8">
        <v>1194</v>
      </c>
      <c r="J31" s="8">
        <v>1187</v>
      </c>
      <c r="K31" s="8">
        <v>1108</v>
      </c>
      <c r="L31" s="8">
        <v>1015</v>
      </c>
      <c r="M31" s="8">
        <v>999</v>
      </c>
      <c r="N31" s="20">
        <v>957.85231813602604</v>
      </c>
      <c r="O31" s="20">
        <v>1100.5999999999999</v>
      </c>
      <c r="P31" s="125">
        <v>-13</v>
      </c>
      <c r="Q31" s="126">
        <v>-4.0999999999999996</v>
      </c>
      <c r="R31" s="127" t="s">
        <v>181</v>
      </c>
    </row>
    <row r="32" spans="1:18" ht="25" customHeight="1" x14ac:dyDescent="0.35">
      <c r="A32" s="11" t="s">
        <v>260</v>
      </c>
      <c r="B32" s="8">
        <v>361</v>
      </c>
      <c r="C32" s="8">
        <v>311</v>
      </c>
      <c r="D32" s="8">
        <v>351</v>
      </c>
      <c r="E32" s="8">
        <v>326</v>
      </c>
      <c r="F32" s="8">
        <v>299</v>
      </c>
      <c r="G32" s="8">
        <v>271</v>
      </c>
      <c r="H32" s="8">
        <v>254</v>
      </c>
      <c r="I32" s="8">
        <v>241</v>
      </c>
      <c r="J32" s="8">
        <v>243</v>
      </c>
      <c r="K32" s="8">
        <v>245</v>
      </c>
      <c r="L32" s="8">
        <v>200</v>
      </c>
      <c r="M32" s="8">
        <v>190</v>
      </c>
      <c r="N32" s="20">
        <v>195.032938556837</v>
      </c>
      <c r="O32" s="20">
        <v>223.8</v>
      </c>
      <c r="P32" s="125">
        <v>-12.9</v>
      </c>
      <c r="Q32" s="126">
        <v>2.6</v>
      </c>
      <c r="R32" s="127" t="s">
        <v>181</v>
      </c>
    </row>
    <row r="33" spans="1:18" ht="25" customHeight="1" x14ac:dyDescent="0.35">
      <c r="A33" s="11" t="s">
        <v>261</v>
      </c>
      <c r="B33" s="8">
        <v>295</v>
      </c>
      <c r="C33" s="8">
        <v>308</v>
      </c>
      <c r="D33" s="8">
        <v>314</v>
      </c>
      <c r="E33" s="8">
        <v>302</v>
      </c>
      <c r="F33" s="8">
        <v>321</v>
      </c>
      <c r="G33" s="8">
        <v>279</v>
      </c>
      <c r="H33" s="8">
        <v>270</v>
      </c>
      <c r="I33" s="8">
        <v>297</v>
      </c>
      <c r="J33" s="8">
        <v>320</v>
      </c>
      <c r="K33" s="8">
        <v>347</v>
      </c>
      <c r="L33" s="8">
        <v>381</v>
      </c>
      <c r="M33" s="8">
        <v>371</v>
      </c>
      <c r="N33" s="20">
        <v>386.58157394570497</v>
      </c>
      <c r="O33" s="20">
        <v>343.2</v>
      </c>
      <c r="P33" s="125">
        <v>12.6</v>
      </c>
      <c r="Q33" s="126">
        <v>4.2</v>
      </c>
      <c r="R33" s="127" t="s">
        <v>181</v>
      </c>
    </row>
    <row r="34" spans="1:18" ht="25" customHeight="1" x14ac:dyDescent="0.35">
      <c r="A34" s="11" t="s">
        <v>262</v>
      </c>
      <c r="B34" s="8" t="s">
        <v>190</v>
      </c>
      <c r="C34" s="8">
        <v>45</v>
      </c>
      <c r="D34" s="8">
        <v>120</v>
      </c>
      <c r="E34" s="8">
        <v>132</v>
      </c>
      <c r="F34" s="8">
        <v>183</v>
      </c>
      <c r="G34" s="8">
        <v>219</v>
      </c>
      <c r="H34" s="8">
        <v>235</v>
      </c>
      <c r="I34" s="8">
        <v>265</v>
      </c>
      <c r="J34" s="8">
        <v>253</v>
      </c>
      <c r="K34" s="8">
        <v>241</v>
      </c>
      <c r="L34" s="8">
        <v>241</v>
      </c>
      <c r="M34" s="8">
        <v>239</v>
      </c>
      <c r="N34" s="20">
        <v>222.10080841331501</v>
      </c>
      <c r="O34" s="20">
        <v>247.8</v>
      </c>
      <c r="P34" s="125">
        <v>-10.4</v>
      </c>
      <c r="Q34" s="126">
        <v>-7.1</v>
      </c>
      <c r="R34" s="127" t="s">
        <v>181</v>
      </c>
    </row>
    <row r="35" spans="1:18" ht="25" customHeight="1" x14ac:dyDescent="0.35">
      <c r="A35" s="11" t="s">
        <v>263</v>
      </c>
      <c r="B35" s="8">
        <v>3</v>
      </c>
      <c r="C35" s="8">
        <v>2</v>
      </c>
      <c r="D35" s="8">
        <v>3</v>
      </c>
      <c r="E35" s="8">
        <v>2</v>
      </c>
      <c r="F35" s="8">
        <v>3</v>
      </c>
      <c r="G35" s="8">
        <v>3</v>
      </c>
      <c r="H35" s="8">
        <v>3</v>
      </c>
      <c r="I35" s="8">
        <v>3</v>
      </c>
      <c r="J35" s="8">
        <v>2</v>
      </c>
      <c r="K35" s="8">
        <v>1</v>
      </c>
      <c r="L35" s="8">
        <v>1</v>
      </c>
      <c r="M35" s="8">
        <v>3</v>
      </c>
      <c r="N35" s="20">
        <v>3.1579058941882598</v>
      </c>
      <c r="O35" s="20">
        <v>2</v>
      </c>
      <c r="P35" s="125">
        <v>57.9</v>
      </c>
      <c r="Q35" s="126">
        <v>5.3</v>
      </c>
      <c r="R35" s="127" t="s">
        <v>181</v>
      </c>
    </row>
    <row r="36" spans="1:18" ht="25" customHeight="1" x14ac:dyDescent="0.35">
      <c r="A36" s="11" t="s">
        <v>264</v>
      </c>
      <c r="B36" s="8">
        <v>198</v>
      </c>
      <c r="C36" s="8">
        <v>166</v>
      </c>
      <c r="D36" s="8">
        <v>81</v>
      </c>
      <c r="E36" s="8">
        <v>122</v>
      </c>
      <c r="F36" s="8">
        <v>200</v>
      </c>
      <c r="G36" s="8">
        <v>152</v>
      </c>
      <c r="H36" s="8">
        <v>143</v>
      </c>
      <c r="I36" s="8">
        <v>172</v>
      </c>
      <c r="J36" s="8">
        <v>157</v>
      </c>
      <c r="K36" s="8">
        <v>140</v>
      </c>
      <c r="L36" s="8">
        <v>124</v>
      </c>
      <c r="M36" s="8">
        <v>161</v>
      </c>
      <c r="N36" s="20">
        <v>165.46305854028299</v>
      </c>
      <c r="O36" s="20">
        <v>150.80000000000001</v>
      </c>
      <c r="P36" s="125">
        <v>9.6999999999999993</v>
      </c>
      <c r="Q36" s="126">
        <v>2.8</v>
      </c>
      <c r="R36" s="127" t="s">
        <v>181</v>
      </c>
    </row>
    <row r="37" spans="1:18" ht="25" customHeight="1" x14ac:dyDescent="0.4">
      <c r="A37" s="12" t="s">
        <v>265</v>
      </c>
      <c r="B37" s="9">
        <v>1769</v>
      </c>
      <c r="C37" s="9">
        <v>1746</v>
      </c>
      <c r="D37" s="9">
        <v>1809</v>
      </c>
      <c r="E37" s="9">
        <v>1878</v>
      </c>
      <c r="F37" s="9">
        <v>2064</v>
      </c>
      <c r="G37" s="9">
        <v>2057</v>
      </c>
      <c r="H37" s="9">
        <v>2037</v>
      </c>
      <c r="I37" s="9">
        <v>2172</v>
      </c>
      <c r="J37" s="9">
        <v>2161</v>
      </c>
      <c r="K37" s="9">
        <v>2083</v>
      </c>
      <c r="L37" s="9">
        <v>1961</v>
      </c>
      <c r="M37" s="9">
        <v>1963</v>
      </c>
      <c r="N37" s="21">
        <v>1930.1886034863501</v>
      </c>
      <c r="O37" s="21">
        <v>2068</v>
      </c>
      <c r="P37" s="128">
        <v>-6.7</v>
      </c>
      <c r="Q37" s="129">
        <v>-1.7</v>
      </c>
      <c r="R37" s="130" t="s">
        <v>181</v>
      </c>
    </row>
    <row r="38" spans="1:18" ht="25" customHeight="1" x14ac:dyDescent="0.35">
      <c r="A38" s="11" t="s">
        <v>266</v>
      </c>
      <c r="B38" s="8">
        <v>1004</v>
      </c>
      <c r="C38" s="8">
        <v>1078</v>
      </c>
      <c r="D38" s="8">
        <v>1233</v>
      </c>
      <c r="E38" s="8">
        <v>1295</v>
      </c>
      <c r="F38" s="8">
        <v>1376</v>
      </c>
      <c r="G38" s="8">
        <v>1512</v>
      </c>
      <c r="H38" s="8">
        <v>1497</v>
      </c>
      <c r="I38" s="8">
        <v>1633</v>
      </c>
      <c r="J38" s="8">
        <v>1590</v>
      </c>
      <c r="K38" s="8">
        <v>1486</v>
      </c>
      <c r="L38" s="8">
        <v>1321</v>
      </c>
      <c r="M38" s="8">
        <v>1369</v>
      </c>
      <c r="N38" s="20">
        <v>1328.0276481999999</v>
      </c>
      <c r="O38" s="20">
        <v>1479.8</v>
      </c>
      <c r="P38" s="125">
        <v>-10.3</v>
      </c>
      <c r="Q38" s="126">
        <v>-3</v>
      </c>
      <c r="R38" s="127" t="s">
        <v>181</v>
      </c>
    </row>
    <row r="39" spans="1:18" ht="25" customHeight="1" thickBot="1" x14ac:dyDescent="0.4">
      <c r="A39" s="119" t="s">
        <v>267</v>
      </c>
      <c r="B39" s="13">
        <v>34</v>
      </c>
      <c r="C39" s="14">
        <v>42</v>
      </c>
      <c r="D39" s="14">
        <v>38</v>
      </c>
      <c r="E39" s="14">
        <v>37</v>
      </c>
      <c r="F39" s="14">
        <v>39</v>
      </c>
      <c r="G39" s="14">
        <v>35</v>
      </c>
      <c r="H39" s="14">
        <v>57</v>
      </c>
      <c r="I39" s="14">
        <v>36</v>
      </c>
      <c r="J39" s="14">
        <v>32</v>
      </c>
      <c r="K39" s="14">
        <v>34</v>
      </c>
      <c r="L39" s="14">
        <v>90</v>
      </c>
      <c r="M39" s="14">
        <v>104</v>
      </c>
      <c r="N39" s="22">
        <v>94.714984200000004</v>
      </c>
      <c r="O39" s="22">
        <v>59.2</v>
      </c>
      <c r="P39" s="132">
        <v>60</v>
      </c>
      <c r="Q39" s="133">
        <v>-8.9</v>
      </c>
      <c r="R39" s="134" t="s">
        <v>181</v>
      </c>
    </row>
    <row r="41" spans="1:18" x14ac:dyDescent="0.35">
      <c r="N41" s="67"/>
      <c r="O41" s="67"/>
    </row>
    <row r="42" spans="1:18" x14ac:dyDescent="0.35">
      <c r="M42" s="67"/>
      <c r="N42" s="135"/>
      <c r="O42" s="136"/>
      <c r="P42" s="135"/>
    </row>
    <row r="43" spans="1:18" x14ac:dyDescent="0.35">
      <c r="K43" s="67"/>
      <c r="L43" s="67"/>
      <c r="M43" s="67"/>
      <c r="N43" s="135"/>
      <c r="O43" s="136"/>
      <c r="P43" s="137"/>
    </row>
    <row r="44" spans="1:18" x14ac:dyDescent="0.35">
      <c r="N44" s="67"/>
    </row>
    <row r="45" spans="1:18" x14ac:dyDescent="0.35">
      <c r="J45" s="67"/>
      <c r="K45" s="67"/>
      <c r="L45" s="67"/>
      <c r="M45" s="67"/>
      <c r="N45" s="67"/>
      <c r="O45" s="67"/>
      <c r="P45" s="67"/>
    </row>
    <row r="46" spans="1:18" x14ac:dyDescent="0.35">
      <c r="N46" s="135"/>
      <c r="O46" s="136"/>
    </row>
    <row r="47" spans="1:18" x14ac:dyDescent="0.35">
      <c r="N47" s="137"/>
      <c r="O47" s="136"/>
    </row>
    <row r="48" spans="1:18" x14ac:dyDescent="0.35">
      <c r="O48" s="136"/>
    </row>
    <row r="49" spans="14:14" x14ac:dyDescent="0.35">
      <c r="N49" s="67"/>
    </row>
  </sheetData>
  <hyperlinks>
    <hyperlink ref="A5" r:id="rId1" xr:uid="{00000000-0004-0000-0400-000000000000}"/>
  </hyperlinks>
  <pageMargins left="0.7" right="0.7" top="0.75" bottom="0.75" header="0.3" footer="0.3"/>
  <pageSetup paperSize="9" orientation="portrait" horizontalDpi="300" verticalDpi="30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3"/>
  <sheetViews>
    <sheetView showGridLines="0" zoomScaleNormal="100" workbookViewId="0"/>
  </sheetViews>
  <sheetFormatPr defaultColWidth="11.5625" defaultRowHeight="15" x14ac:dyDescent="0.35"/>
  <cols>
    <col min="1" max="1" width="50.6875" customWidth="1"/>
    <col min="2" max="17" width="15.5625" customWidth="1"/>
  </cols>
  <sheetData>
    <row r="1" spans="1:17" ht="20.149999999999999" x14ac:dyDescent="0.5">
      <c r="A1" s="1" t="s">
        <v>268</v>
      </c>
    </row>
    <row r="2" spans="1:17" x14ac:dyDescent="0.35">
      <c r="A2" t="s">
        <v>34</v>
      </c>
    </row>
    <row r="3" spans="1:17" x14ac:dyDescent="0.35">
      <c r="A3" t="s">
        <v>160</v>
      </c>
    </row>
    <row r="4" spans="1:17" x14ac:dyDescent="0.35">
      <c r="A4" s="3" t="str">
        <f>HYPERLINK("#Notes!A1", "Link to Notes table")</f>
        <v>Link to Notes table</v>
      </c>
    </row>
    <row r="5" spans="1:17" ht="15.45" thickBot="1" x14ac:dyDescent="0.4">
      <c r="A5" s="3" t="s">
        <v>161</v>
      </c>
    </row>
    <row r="6" spans="1:17" ht="46.75" thickBot="1" x14ac:dyDescent="0.45">
      <c r="A6" s="5" t="s">
        <v>269</v>
      </c>
      <c r="B6" s="10" t="s">
        <v>270</v>
      </c>
      <c r="C6" s="10" t="s">
        <v>271</v>
      </c>
      <c r="D6" s="10" t="s">
        <v>272</v>
      </c>
      <c r="E6" s="10" t="s">
        <v>273</v>
      </c>
      <c r="F6" s="10" t="s">
        <v>274</v>
      </c>
      <c r="G6" s="10" t="s">
        <v>275</v>
      </c>
      <c r="H6" s="10" t="s">
        <v>276</v>
      </c>
      <c r="I6" s="10" t="s">
        <v>277</v>
      </c>
      <c r="J6" s="10" t="s">
        <v>278</v>
      </c>
      <c r="K6" s="10" t="s">
        <v>279</v>
      </c>
      <c r="L6" s="10" t="s">
        <v>280</v>
      </c>
      <c r="M6" s="10" t="s">
        <v>281</v>
      </c>
      <c r="N6" s="19" t="s">
        <v>282</v>
      </c>
      <c r="O6" s="19" t="s">
        <v>283</v>
      </c>
      <c r="P6" s="19" t="s">
        <v>177</v>
      </c>
      <c r="Q6" s="7" t="s">
        <v>178</v>
      </c>
    </row>
    <row r="7" spans="1:17" ht="25" customHeight="1" x14ac:dyDescent="0.35">
      <c r="A7" s="11" t="s">
        <v>284</v>
      </c>
      <c r="B7" s="8">
        <v>54888</v>
      </c>
      <c r="C7" s="8">
        <v>55810</v>
      </c>
      <c r="D7" s="8">
        <v>55290</v>
      </c>
      <c r="E7" s="8">
        <v>59066</v>
      </c>
      <c r="F7" s="8">
        <v>58284</v>
      </c>
      <c r="G7" s="8">
        <v>53863</v>
      </c>
      <c r="H7" s="8">
        <v>54553</v>
      </c>
      <c r="I7" s="8">
        <v>54521</v>
      </c>
      <c r="J7" s="8">
        <v>56971</v>
      </c>
      <c r="K7" s="8">
        <v>61587</v>
      </c>
      <c r="L7" s="8">
        <v>62693</v>
      </c>
      <c r="M7" s="8">
        <v>61429</v>
      </c>
      <c r="N7" s="20">
        <v>63278</v>
      </c>
      <c r="O7" s="20">
        <v>59440.2</v>
      </c>
      <c r="P7" s="23">
        <v>6.4565731609247701</v>
      </c>
      <c r="Q7" s="31">
        <v>3.0099790001465099</v>
      </c>
    </row>
    <row r="8" spans="1:17" ht="25" customHeight="1" x14ac:dyDescent="0.35">
      <c r="A8" s="11" t="s">
        <v>285</v>
      </c>
      <c r="B8" s="8">
        <v>165672</v>
      </c>
      <c r="C8" s="8">
        <v>169716</v>
      </c>
      <c r="D8" s="8">
        <v>175734</v>
      </c>
      <c r="E8" s="8">
        <v>175194</v>
      </c>
      <c r="F8" s="8">
        <v>174442</v>
      </c>
      <c r="G8" s="8">
        <v>174731</v>
      </c>
      <c r="H8" s="8">
        <v>175817</v>
      </c>
      <c r="I8" s="8">
        <v>173032</v>
      </c>
      <c r="J8" s="8">
        <v>174163</v>
      </c>
      <c r="K8" s="8">
        <v>175304</v>
      </c>
      <c r="L8" s="8">
        <v>175575</v>
      </c>
      <c r="M8" s="8">
        <v>179561</v>
      </c>
      <c r="N8" s="20">
        <v>182197</v>
      </c>
      <c r="O8" s="20">
        <v>175527</v>
      </c>
      <c r="P8" s="23">
        <v>3.7999851874640398</v>
      </c>
      <c r="Q8" s="31">
        <v>1.46802479380266</v>
      </c>
    </row>
    <row r="9" spans="1:17" ht="25" customHeight="1" x14ac:dyDescent="0.35">
      <c r="A9" s="11" t="s">
        <v>286</v>
      </c>
      <c r="B9" s="8">
        <v>45313</v>
      </c>
      <c r="C9" s="8">
        <v>48760</v>
      </c>
      <c r="D9" s="8">
        <v>46997</v>
      </c>
      <c r="E9" s="8">
        <v>42161</v>
      </c>
      <c r="F9" s="8">
        <v>42014</v>
      </c>
      <c r="G9" s="8">
        <v>39484</v>
      </c>
      <c r="H9" s="8">
        <v>34672</v>
      </c>
      <c r="I9" s="8">
        <v>31039</v>
      </c>
      <c r="J9" s="8">
        <v>27860</v>
      </c>
      <c r="K9" s="8">
        <v>25671</v>
      </c>
      <c r="L9" s="8">
        <v>25825</v>
      </c>
      <c r="M9" s="8">
        <v>25156</v>
      </c>
      <c r="N9" s="20">
        <v>23473</v>
      </c>
      <c r="O9" s="20">
        <v>27110.2</v>
      </c>
      <c r="P9" s="23">
        <v>-13.416352516764899</v>
      </c>
      <c r="Q9" s="31">
        <v>-6.6902528223882998</v>
      </c>
    </row>
    <row r="10" spans="1:17" ht="25" customHeight="1" x14ac:dyDescent="0.4">
      <c r="A10" s="12" t="s">
        <v>287</v>
      </c>
      <c r="B10" s="9">
        <v>265873</v>
      </c>
      <c r="C10" s="9">
        <v>274286</v>
      </c>
      <c r="D10" s="9">
        <v>278021</v>
      </c>
      <c r="E10" s="9">
        <v>276421</v>
      </c>
      <c r="F10" s="9">
        <v>274740</v>
      </c>
      <c r="G10" s="9">
        <v>268078</v>
      </c>
      <c r="H10" s="9">
        <v>265042</v>
      </c>
      <c r="I10" s="9">
        <v>258592</v>
      </c>
      <c r="J10" s="9">
        <v>258994</v>
      </c>
      <c r="K10" s="9">
        <v>262562</v>
      </c>
      <c r="L10" s="9">
        <v>264093</v>
      </c>
      <c r="M10" s="9">
        <v>266146</v>
      </c>
      <c r="N10" s="21">
        <v>268948</v>
      </c>
      <c r="O10" s="21">
        <v>262077.4</v>
      </c>
      <c r="P10" s="138">
        <v>2.6215919419225</v>
      </c>
      <c r="Q10" s="139">
        <v>1.0528056029397399</v>
      </c>
    </row>
    <row r="11" spans="1:17" ht="25" customHeight="1" x14ac:dyDescent="0.35">
      <c r="A11" s="11" t="s">
        <v>288</v>
      </c>
      <c r="B11" s="8">
        <v>195113</v>
      </c>
      <c r="C11" s="8">
        <v>190487</v>
      </c>
      <c r="D11" s="8">
        <v>190065</v>
      </c>
      <c r="E11" s="8">
        <v>193436</v>
      </c>
      <c r="F11" s="8">
        <v>193031</v>
      </c>
      <c r="G11" s="8">
        <v>196104</v>
      </c>
      <c r="H11" s="8">
        <v>192661</v>
      </c>
      <c r="I11" s="8">
        <v>191490</v>
      </c>
      <c r="J11" s="8">
        <v>195822</v>
      </c>
      <c r="K11" s="8">
        <v>190996</v>
      </c>
      <c r="L11" s="8">
        <v>192278</v>
      </c>
      <c r="M11" s="8">
        <v>194042</v>
      </c>
      <c r="N11" s="20">
        <v>189687</v>
      </c>
      <c r="O11" s="20">
        <v>192925.6</v>
      </c>
      <c r="P11" s="23">
        <v>-1.6786782054844001</v>
      </c>
      <c r="Q11" s="31">
        <v>-2.2443594685686601</v>
      </c>
    </row>
    <row r="12" spans="1:17" ht="25" customHeight="1" x14ac:dyDescent="0.35">
      <c r="A12" s="11" t="s">
        <v>289</v>
      </c>
      <c r="B12" s="8">
        <v>446939</v>
      </c>
      <c r="C12" s="8">
        <v>436526</v>
      </c>
      <c r="D12" s="8">
        <v>436766</v>
      </c>
      <c r="E12" s="8">
        <v>436640</v>
      </c>
      <c r="F12" s="8">
        <v>432812</v>
      </c>
      <c r="G12" s="8">
        <v>424250</v>
      </c>
      <c r="H12" s="8">
        <v>417383</v>
      </c>
      <c r="I12" s="8">
        <v>413935</v>
      </c>
      <c r="J12" s="8">
        <v>413444</v>
      </c>
      <c r="K12" s="8">
        <v>409213</v>
      </c>
      <c r="L12" s="8">
        <v>394698</v>
      </c>
      <c r="M12" s="8">
        <v>382558</v>
      </c>
      <c r="N12" s="20">
        <v>372950</v>
      </c>
      <c r="O12" s="20">
        <v>402769.6</v>
      </c>
      <c r="P12" s="23">
        <v>-7.4036372159169899</v>
      </c>
      <c r="Q12" s="31">
        <v>-2.5115145938655101</v>
      </c>
    </row>
    <row r="13" spans="1:17" ht="25" customHeight="1" x14ac:dyDescent="0.35">
      <c r="A13" s="11" t="s">
        <v>290</v>
      </c>
      <c r="B13" s="8">
        <v>83928</v>
      </c>
      <c r="C13" s="8">
        <v>86256</v>
      </c>
      <c r="D13" s="8">
        <v>82714</v>
      </c>
      <c r="E13" s="8">
        <v>80961</v>
      </c>
      <c r="F13" s="8">
        <v>78501</v>
      </c>
      <c r="G13" s="8">
        <v>79123</v>
      </c>
      <c r="H13" s="8">
        <v>79554</v>
      </c>
      <c r="I13" s="8">
        <v>74958</v>
      </c>
      <c r="J13" s="8">
        <v>74084</v>
      </c>
      <c r="K13" s="8">
        <v>72350</v>
      </c>
      <c r="L13" s="8">
        <v>68527</v>
      </c>
      <c r="M13" s="8">
        <v>71418</v>
      </c>
      <c r="N13" s="20">
        <v>69875</v>
      </c>
      <c r="O13" s="20">
        <v>72267.399999999994</v>
      </c>
      <c r="P13" s="23">
        <v>-3.31048301170375</v>
      </c>
      <c r="Q13" s="31">
        <v>-2.1605197569240202</v>
      </c>
    </row>
    <row r="14" spans="1:17" ht="25" customHeight="1" x14ac:dyDescent="0.4">
      <c r="A14" s="12" t="s">
        <v>291</v>
      </c>
      <c r="B14" s="9">
        <v>725980</v>
      </c>
      <c r="C14" s="9">
        <v>713269</v>
      </c>
      <c r="D14" s="9">
        <v>709545</v>
      </c>
      <c r="E14" s="9">
        <v>711037</v>
      </c>
      <c r="F14" s="9">
        <v>704344</v>
      </c>
      <c r="G14" s="9">
        <v>699477</v>
      </c>
      <c r="H14" s="9">
        <v>689598</v>
      </c>
      <c r="I14" s="9">
        <v>680383</v>
      </c>
      <c r="J14" s="9">
        <v>683350</v>
      </c>
      <c r="K14" s="9">
        <v>672559</v>
      </c>
      <c r="L14" s="9">
        <v>655503</v>
      </c>
      <c r="M14" s="9">
        <v>648018</v>
      </c>
      <c r="N14" s="21">
        <v>632512</v>
      </c>
      <c r="O14" s="21">
        <v>667962.6</v>
      </c>
      <c r="P14" s="138">
        <v>-5.3072731916427598</v>
      </c>
      <c r="Q14" s="139">
        <v>-2.3928347669354899</v>
      </c>
    </row>
    <row r="15" spans="1:17" ht="25" customHeight="1" x14ac:dyDescent="0.35">
      <c r="A15" s="11" t="s">
        <v>292</v>
      </c>
      <c r="B15" s="8">
        <v>204499</v>
      </c>
      <c r="C15" s="8">
        <v>201395</v>
      </c>
      <c r="D15" s="8">
        <v>200328</v>
      </c>
      <c r="E15" s="8">
        <v>203292</v>
      </c>
      <c r="F15" s="8">
        <v>198856</v>
      </c>
      <c r="G15" s="8">
        <v>197610</v>
      </c>
      <c r="H15" s="8">
        <v>190446</v>
      </c>
      <c r="I15" s="8">
        <v>187613</v>
      </c>
      <c r="J15" s="8">
        <v>190907</v>
      </c>
      <c r="K15" s="8">
        <v>185177</v>
      </c>
      <c r="L15" s="8">
        <v>186689</v>
      </c>
      <c r="M15" s="8">
        <v>187904</v>
      </c>
      <c r="N15" s="20">
        <v>182377</v>
      </c>
      <c r="O15" s="20">
        <v>187658</v>
      </c>
      <c r="P15" s="23">
        <v>-2.81416193287789</v>
      </c>
      <c r="Q15" s="31">
        <v>-2.9413956062670299</v>
      </c>
    </row>
    <row r="16" spans="1:17" ht="25" customHeight="1" x14ac:dyDescent="0.35">
      <c r="A16" s="11" t="s">
        <v>293</v>
      </c>
      <c r="B16" s="8">
        <v>69838</v>
      </c>
      <c r="C16" s="8">
        <v>77770</v>
      </c>
      <c r="D16" s="8">
        <v>74461</v>
      </c>
      <c r="E16" s="8">
        <v>69014</v>
      </c>
      <c r="F16" s="8">
        <v>64888</v>
      </c>
      <c r="G16" s="8">
        <v>64163</v>
      </c>
      <c r="H16" s="8">
        <v>62960</v>
      </c>
      <c r="I16" s="8">
        <v>57830</v>
      </c>
      <c r="J16" s="8">
        <v>53279</v>
      </c>
      <c r="K16" s="8">
        <v>51651</v>
      </c>
      <c r="L16" s="8">
        <v>52516</v>
      </c>
      <c r="M16" s="8">
        <v>55562</v>
      </c>
      <c r="N16" s="20">
        <v>53729</v>
      </c>
      <c r="O16" s="20">
        <v>54167.6</v>
      </c>
      <c r="P16" s="23">
        <v>-0.80970912501199699</v>
      </c>
      <c r="Q16" s="31">
        <v>-3.2990173139915799</v>
      </c>
    </row>
    <row r="17" spans="1:17" ht="25" customHeight="1" x14ac:dyDescent="0.4">
      <c r="A17" s="12" t="s">
        <v>294</v>
      </c>
      <c r="B17" s="9">
        <v>274337</v>
      </c>
      <c r="C17" s="9">
        <v>279165</v>
      </c>
      <c r="D17" s="9">
        <v>274789</v>
      </c>
      <c r="E17" s="9">
        <v>272306</v>
      </c>
      <c r="F17" s="9">
        <v>263744</v>
      </c>
      <c r="G17" s="9">
        <v>261773</v>
      </c>
      <c r="H17" s="9">
        <v>253406</v>
      </c>
      <c r="I17" s="9">
        <v>245443</v>
      </c>
      <c r="J17" s="9">
        <v>244186</v>
      </c>
      <c r="K17" s="9">
        <v>236828</v>
      </c>
      <c r="L17" s="9">
        <v>239205</v>
      </c>
      <c r="M17" s="9">
        <v>243466</v>
      </c>
      <c r="N17" s="21">
        <v>236106</v>
      </c>
      <c r="O17" s="21">
        <v>241825.6</v>
      </c>
      <c r="P17" s="138">
        <v>-2.3651755645390802</v>
      </c>
      <c r="Q17" s="139">
        <v>-3.023009372972</v>
      </c>
    </row>
    <row r="18" spans="1:17" ht="25" customHeight="1" x14ac:dyDescent="0.35">
      <c r="A18" s="11" t="s">
        <v>295</v>
      </c>
      <c r="B18" s="8">
        <v>56953</v>
      </c>
      <c r="C18" s="8">
        <v>57054</v>
      </c>
      <c r="D18" s="8">
        <v>60706</v>
      </c>
      <c r="E18" s="8">
        <v>59320</v>
      </c>
      <c r="F18" s="8">
        <v>55892</v>
      </c>
      <c r="G18" s="8">
        <v>56081</v>
      </c>
      <c r="H18" s="8">
        <v>55633</v>
      </c>
      <c r="I18" s="8">
        <v>57122</v>
      </c>
      <c r="J18" s="8">
        <v>62656</v>
      </c>
      <c r="K18" s="8">
        <v>64325</v>
      </c>
      <c r="L18" s="8">
        <v>62181</v>
      </c>
      <c r="M18" s="8">
        <v>65210</v>
      </c>
      <c r="N18" s="20">
        <v>65512</v>
      </c>
      <c r="O18" s="20">
        <v>62298.8</v>
      </c>
      <c r="P18" s="23">
        <v>5.1577237442775701</v>
      </c>
      <c r="Q18" s="31">
        <v>0.46311915350406402</v>
      </c>
    </row>
    <row r="19" spans="1:17" ht="25" customHeight="1" x14ac:dyDescent="0.35">
      <c r="A19" s="11" t="s">
        <v>296</v>
      </c>
      <c r="B19" s="8">
        <v>217229</v>
      </c>
      <c r="C19" s="8">
        <v>214818</v>
      </c>
      <c r="D19" s="8">
        <v>221166</v>
      </c>
      <c r="E19" s="8">
        <v>222708</v>
      </c>
      <c r="F19" s="8">
        <v>224627</v>
      </c>
      <c r="G19" s="8">
        <v>219629</v>
      </c>
      <c r="H19" s="8">
        <v>218622</v>
      </c>
      <c r="I19" s="8">
        <v>222186</v>
      </c>
      <c r="J19" s="8">
        <v>222171</v>
      </c>
      <c r="K19" s="8">
        <v>223451</v>
      </c>
      <c r="L19" s="8">
        <v>221160</v>
      </c>
      <c r="M19" s="8">
        <v>214495</v>
      </c>
      <c r="N19" s="20">
        <v>216244</v>
      </c>
      <c r="O19" s="20">
        <v>220692.6</v>
      </c>
      <c r="P19" s="23">
        <v>-2.0157449774029601</v>
      </c>
      <c r="Q19" s="31">
        <v>0.81540362246206199</v>
      </c>
    </row>
    <row r="20" spans="1:17" ht="25" customHeight="1" x14ac:dyDescent="0.35">
      <c r="A20" s="11" t="s">
        <v>297</v>
      </c>
      <c r="B20" s="8">
        <v>256950</v>
      </c>
      <c r="C20" s="8">
        <v>254764</v>
      </c>
      <c r="D20" s="8">
        <v>261759</v>
      </c>
      <c r="E20" s="8">
        <v>262437</v>
      </c>
      <c r="F20" s="8">
        <v>258356</v>
      </c>
      <c r="G20" s="8">
        <v>250280</v>
      </c>
      <c r="H20" s="8">
        <v>245426</v>
      </c>
      <c r="I20" s="8">
        <v>248534</v>
      </c>
      <c r="J20" s="8">
        <v>250020</v>
      </c>
      <c r="K20" s="8">
        <v>246070</v>
      </c>
      <c r="L20" s="8">
        <v>241787</v>
      </c>
      <c r="M20" s="8">
        <v>231019</v>
      </c>
      <c r="N20" s="20">
        <v>234491</v>
      </c>
      <c r="O20" s="20">
        <v>243486</v>
      </c>
      <c r="P20" s="23">
        <v>-3.69425757538421</v>
      </c>
      <c r="Q20" s="31">
        <v>1.50290668732875</v>
      </c>
    </row>
    <row r="21" spans="1:17" ht="25" customHeight="1" x14ac:dyDescent="0.4">
      <c r="A21" s="12" t="s">
        <v>298</v>
      </c>
      <c r="B21" s="9">
        <v>531132</v>
      </c>
      <c r="C21" s="9">
        <v>526636</v>
      </c>
      <c r="D21" s="9">
        <v>543631</v>
      </c>
      <c r="E21" s="9">
        <v>544465</v>
      </c>
      <c r="F21" s="9">
        <v>538875</v>
      </c>
      <c r="G21" s="9">
        <v>525990</v>
      </c>
      <c r="H21" s="9">
        <v>519681</v>
      </c>
      <c r="I21" s="9">
        <v>527842</v>
      </c>
      <c r="J21" s="9">
        <v>534847</v>
      </c>
      <c r="K21" s="9">
        <v>533846</v>
      </c>
      <c r="L21" s="9">
        <v>525128</v>
      </c>
      <c r="M21" s="9">
        <v>510724</v>
      </c>
      <c r="N21" s="21">
        <v>516247</v>
      </c>
      <c r="O21" s="21">
        <v>526477.4</v>
      </c>
      <c r="P21" s="138">
        <v>-1.9431793273557501</v>
      </c>
      <c r="Q21" s="139">
        <v>1.0814060040256599</v>
      </c>
    </row>
    <row r="22" spans="1:17" ht="25" customHeight="1" thickBot="1" x14ac:dyDescent="0.45">
      <c r="A22" s="25" t="s">
        <v>299</v>
      </c>
      <c r="B22" s="28">
        <v>1797322</v>
      </c>
      <c r="C22" s="29">
        <v>1793356</v>
      </c>
      <c r="D22" s="29">
        <v>1805986</v>
      </c>
      <c r="E22" s="29">
        <v>1804229</v>
      </c>
      <c r="F22" s="29">
        <v>1781703</v>
      </c>
      <c r="G22" s="29">
        <v>1755318</v>
      </c>
      <c r="H22" s="29">
        <v>1727727</v>
      </c>
      <c r="I22" s="29">
        <v>1712260</v>
      </c>
      <c r="J22" s="29">
        <v>1721377</v>
      </c>
      <c r="K22" s="29">
        <v>1705795</v>
      </c>
      <c r="L22" s="29">
        <v>1683929</v>
      </c>
      <c r="M22" s="29">
        <v>1668354</v>
      </c>
      <c r="N22" s="30">
        <v>1653813</v>
      </c>
      <c r="O22" s="30">
        <v>1698343</v>
      </c>
      <c r="P22" s="32">
        <v>-2.6219674117654699</v>
      </c>
      <c r="Q22" s="33">
        <v>-0.87157761482275298</v>
      </c>
    </row>
    <row r="23" spans="1:17" x14ac:dyDescent="0.35">
      <c r="N23" s="140"/>
    </row>
  </sheetData>
  <hyperlinks>
    <hyperlink ref="A5" r:id="rId1" xr:uid="{00000000-0004-0000-0500-000000000000}"/>
  </hyperlinks>
  <pageMargins left="0.7" right="0.7" top="0.75" bottom="0.75" header="0.3" footer="0.3"/>
  <pageSetup paperSize="9" orientation="portrait" horizontalDpi="300" verticalDpi="30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3"/>
  <sheetViews>
    <sheetView showGridLines="0" zoomScaleNormal="100" workbookViewId="0"/>
  </sheetViews>
  <sheetFormatPr defaultColWidth="11.5625" defaultRowHeight="15" x14ac:dyDescent="0.35"/>
  <cols>
    <col min="1" max="1" width="50.6875" customWidth="1"/>
    <col min="2" max="17" width="15.5625" customWidth="1"/>
  </cols>
  <sheetData>
    <row r="1" spans="1:17" ht="20.149999999999999" x14ac:dyDescent="0.5">
      <c r="A1" s="106" t="s">
        <v>300</v>
      </c>
    </row>
    <row r="2" spans="1:17" x14ac:dyDescent="0.35">
      <c r="A2" t="s">
        <v>34</v>
      </c>
    </row>
    <row r="3" spans="1:17" x14ac:dyDescent="0.35">
      <c r="A3" t="s">
        <v>160</v>
      </c>
    </row>
    <row r="4" spans="1:17" x14ac:dyDescent="0.35">
      <c r="A4" s="3" t="str">
        <f>HYPERLINK("#Notes!A1", "Link to Notes table")</f>
        <v>Link to Notes table</v>
      </c>
    </row>
    <row r="5" spans="1:17" ht="15.45" thickBot="1" x14ac:dyDescent="0.4">
      <c r="A5" s="3" t="s">
        <v>161</v>
      </c>
    </row>
    <row r="6" spans="1:17" ht="46.75" thickBot="1" x14ac:dyDescent="0.45">
      <c r="A6" s="5" t="s">
        <v>301</v>
      </c>
      <c r="B6" s="10" t="s">
        <v>270</v>
      </c>
      <c r="C6" s="10" t="s">
        <v>271</v>
      </c>
      <c r="D6" s="10" t="s">
        <v>272</v>
      </c>
      <c r="E6" s="10" t="s">
        <v>273</v>
      </c>
      <c r="F6" s="10" t="s">
        <v>274</v>
      </c>
      <c r="G6" s="10" t="s">
        <v>275</v>
      </c>
      <c r="H6" s="10" t="s">
        <v>276</v>
      </c>
      <c r="I6" s="10" t="s">
        <v>277</v>
      </c>
      <c r="J6" s="10" t="s">
        <v>278</v>
      </c>
      <c r="K6" s="10" t="s">
        <v>279</v>
      </c>
      <c r="L6" s="10" t="s">
        <v>280</v>
      </c>
      <c r="M6" s="10" t="s">
        <v>281</v>
      </c>
      <c r="N6" s="10" t="s">
        <v>282</v>
      </c>
      <c r="O6" s="34" t="s">
        <v>283</v>
      </c>
      <c r="P6" s="19" t="s">
        <v>177</v>
      </c>
      <c r="Q6" s="7" t="s">
        <v>178</v>
      </c>
    </row>
    <row r="7" spans="1:17" ht="25" customHeight="1" x14ac:dyDescent="0.35">
      <c r="A7" s="11" t="s">
        <v>302</v>
      </c>
      <c r="B7" s="8">
        <v>2616268</v>
      </c>
      <c r="C7" s="8">
        <v>2604185</v>
      </c>
      <c r="D7" s="8">
        <v>2588174</v>
      </c>
      <c r="E7" s="8">
        <v>2618341</v>
      </c>
      <c r="F7" s="8">
        <v>2660856</v>
      </c>
      <c r="G7" s="8">
        <v>2552118</v>
      </c>
      <c r="H7" s="8">
        <v>2568018</v>
      </c>
      <c r="I7" s="8">
        <v>2537933</v>
      </c>
      <c r="J7" s="8">
        <v>2565429</v>
      </c>
      <c r="K7" s="8">
        <v>2552054</v>
      </c>
      <c r="L7" s="8">
        <v>2509780</v>
      </c>
      <c r="M7" s="8">
        <v>2451744</v>
      </c>
      <c r="N7" s="8">
        <v>2469738</v>
      </c>
      <c r="O7" s="39">
        <v>2523388</v>
      </c>
      <c r="P7" s="23">
        <v>-2.1261098174359199</v>
      </c>
      <c r="Q7" s="141">
        <v>0.73392654371745203</v>
      </c>
    </row>
    <row r="8" spans="1:17" ht="25" customHeight="1" x14ac:dyDescent="0.35">
      <c r="A8" s="11" t="s">
        <v>303</v>
      </c>
      <c r="B8" s="8">
        <v>86904</v>
      </c>
      <c r="C8" s="8">
        <v>86807</v>
      </c>
      <c r="D8" s="8">
        <v>87121</v>
      </c>
      <c r="E8" s="8">
        <v>89507</v>
      </c>
      <c r="F8" s="8">
        <v>90857</v>
      </c>
      <c r="G8" s="8">
        <v>89906</v>
      </c>
      <c r="H8" s="8">
        <v>92798</v>
      </c>
      <c r="I8" s="8">
        <v>90742</v>
      </c>
      <c r="J8" s="8">
        <v>90569</v>
      </c>
      <c r="K8" s="8">
        <v>90223</v>
      </c>
      <c r="L8" s="8">
        <v>88924</v>
      </c>
      <c r="M8" s="8">
        <v>90268</v>
      </c>
      <c r="N8" s="8">
        <v>87888</v>
      </c>
      <c r="O8" s="39">
        <v>90145.2</v>
      </c>
      <c r="P8" s="23">
        <v>-2.5039602774190901</v>
      </c>
      <c r="Q8" s="142">
        <v>-2.6365932556387599</v>
      </c>
    </row>
    <row r="9" spans="1:17" ht="25" customHeight="1" x14ac:dyDescent="0.35">
      <c r="A9" s="11" t="s">
        <v>304</v>
      </c>
      <c r="B9" s="8">
        <v>657831</v>
      </c>
      <c r="C9" s="8">
        <v>631185</v>
      </c>
      <c r="D9" s="8">
        <v>697419</v>
      </c>
      <c r="E9" s="8">
        <v>698335</v>
      </c>
      <c r="F9" s="8">
        <v>671012</v>
      </c>
      <c r="G9" s="8">
        <v>631743</v>
      </c>
      <c r="H9" s="8">
        <v>588744</v>
      </c>
      <c r="I9" s="8">
        <v>608872</v>
      </c>
      <c r="J9" s="8">
        <v>590943</v>
      </c>
      <c r="K9" s="8">
        <v>587627</v>
      </c>
      <c r="L9" s="8">
        <v>576749</v>
      </c>
      <c r="M9" s="8">
        <v>543713</v>
      </c>
      <c r="N9" s="8">
        <v>561083</v>
      </c>
      <c r="O9" s="39">
        <v>581580.80000000005</v>
      </c>
      <c r="P9" s="23">
        <v>-3.52449736992694</v>
      </c>
      <c r="Q9" s="142">
        <v>3.1947001451133201</v>
      </c>
    </row>
    <row r="10" spans="1:17" ht="25" customHeight="1" x14ac:dyDescent="0.35">
      <c r="A10" s="11" t="s">
        <v>305</v>
      </c>
      <c r="B10" s="8">
        <v>104711</v>
      </c>
      <c r="C10" s="8">
        <v>99935</v>
      </c>
      <c r="D10" s="8">
        <v>99002</v>
      </c>
      <c r="E10" s="8">
        <v>99869</v>
      </c>
      <c r="F10" s="8">
        <v>148345</v>
      </c>
      <c r="G10" s="8">
        <v>174100</v>
      </c>
      <c r="H10" s="8">
        <v>164695</v>
      </c>
      <c r="I10" s="8">
        <v>167720</v>
      </c>
      <c r="J10" s="8">
        <v>233491</v>
      </c>
      <c r="K10" s="8">
        <v>231884</v>
      </c>
      <c r="L10" s="8">
        <v>235371</v>
      </c>
      <c r="M10" s="8">
        <v>233725</v>
      </c>
      <c r="N10" s="8">
        <v>239762</v>
      </c>
      <c r="O10" s="39">
        <v>220438.2</v>
      </c>
      <c r="P10" s="23">
        <v>8.7660850070450493</v>
      </c>
      <c r="Q10" s="142">
        <v>2.5829500481334899</v>
      </c>
    </row>
    <row r="11" spans="1:17" ht="25" customHeight="1" x14ac:dyDescent="0.4">
      <c r="A11" s="12" t="s">
        <v>306</v>
      </c>
      <c r="B11" s="9">
        <v>762542</v>
      </c>
      <c r="C11" s="9">
        <v>731120</v>
      </c>
      <c r="D11" s="9">
        <v>796421</v>
      </c>
      <c r="E11" s="9">
        <v>798204</v>
      </c>
      <c r="F11" s="9">
        <v>819357</v>
      </c>
      <c r="G11" s="9">
        <v>805843</v>
      </c>
      <c r="H11" s="9">
        <v>753439</v>
      </c>
      <c r="I11" s="9">
        <v>776592</v>
      </c>
      <c r="J11" s="9">
        <v>824434</v>
      </c>
      <c r="K11" s="9">
        <v>819511</v>
      </c>
      <c r="L11" s="9">
        <v>812120</v>
      </c>
      <c r="M11" s="9">
        <v>777438</v>
      </c>
      <c r="N11" s="9">
        <v>800845</v>
      </c>
      <c r="O11" s="41">
        <v>802019</v>
      </c>
      <c r="P11" s="138">
        <v>-0.146380572031336</v>
      </c>
      <c r="Q11" s="143">
        <v>3.0107867122523002</v>
      </c>
    </row>
    <row r="12" spans="1:17" ht="25" customHeight="1" x14ac:dyDescent="0.35">
      <c r="A12" s="11" t="s">
        <v>307</v>
      </c>
      <c r="B12" s="8">
        <v>3105263</v>
      </c>
      <c r="C12" s="8">
        <v>3270509</v>
      </c>
      <c r="D12" s="8">
        <v>3229660</v>
      </c>
      <c r="E12" s="8">
        <v>3320064</v>
      </c>
      <c r="F12" s="8">
        <v>3413947</v>
      </c>
      <c r="G12" s="8">
        <v>3138532</v>
      </c>
      <c r="H12" s="8">
        <v>3254845</v>
      </c>
      <c r="I12" s="8">
        <v>3315549</v>
      </c>
      <c r="J12" s="8">
        <v>3351273</v>
      </c>
      <c r="K12" s="8">
        <v>3337337</v>
      </c>
      <c r="L12" s="8">
        <v>3199882</v>
      </c>
      <c r="M12" s="8">
        <v>3148206</v>
      </c>
      <c r="N12" s="8">
        <v>3180659</v>
      </c>
      <c r="O12" s="39">
        <v>3270449.4</v>
      </c>
      <c r="P12" s="23">
        <v>-2.7455064738197699</v>
      </c>
      <c r="Q12" s="142">
        <v>1.03084105677964</v>
      </c>
    </row>
    <row r="13" spans="1:17" ht="25" customHeight="1" thickBot="1" x14ac:dyDescent="0.45">
      <c r="A13" s="25" t="s">
        <v>308</v>
      </c>
      <c r="B13" s="28">
        <v>6570977</v>
      </c>
      <c r="C13" s="29">
        <v>6692621</v>
      </c>
      <c r="D13" s="29">
        <v>6701376</v>
      </c>
      <c r="E13" s="29">
        <v>6826116</v>
      </c>
      <c r="F13" s="29">
        <v>6985017</v>
      </c>
      <c r="G13" s="29">
        <v>6586399</v>
      </c>
      <c r="H13" s="29">
        <v>6669100</v>
      </c>
      <c r="I13" s="29">
        <v>6720816</v>
      </c>
      <c r="J13" s="29">
        <v>6831705</v>
      </c>
      <c r="K13" s="29">
        <v>6799125</v>
      </c>
      <c r="L13" s="29">
        <v>6610706</v>
      </c>
      <c r="M13" s="29">
        <v>6467656</v>
      </c>
      <c r="N13" s="29">
        <v>6539130</v>
      </c>
      <c r="O13" s="144">
        <v>6686001.5999999996</v>
      </c>
      <c r="P13" s="32">
        <v>-2.1967030339926898</v>
      </c>
      <c r="Q13" s="145">
        <v>1.1050989724871001</v>
      </c>
    </row>
  </sheetData>
  <hyperlinks>
    <hyperlink ref="A5" r:id="rId1" xr:uid="{00000000-0004-0000-0600-000000000000}"/>
  </hyperlinks>
  <pageMargins left="0.7" right="0.7" top="0.75" bottom="0.75" header="0.3" footer="0.3"/>
  <pageSetup paperSize="9" orientation="portrait" horizontalDpi="300" verticalDpi="30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9"/>
  <sheetViews>
    <sheetView showGridLines="0" zoomScaleNormal="100" workbookViewId="0"/>
  </sheetViews>
  <sheetFormatPr defaultColWidth="11.5625" defaultRowHeight="15" x14ac:dyDescent="0.35"/>
  <cols>
    <col min="1" max="1" width="50.6875" customWidth="1"/>
    <col min="2" max="17" width="15.5625" customWidth="1"/>
    <col min="18" max="18" width="29.3125" style="6" customWidth="1"/>
  </cols>
  <sheetData>
    <row r="1" spans="1:18" ht="20.149999999999999" x14ac:dyDescent="0.5">
      <c r="A1" s="1" t="s">
        <v>309</v>
      </c>
    </row>
    <row r="2" spans="1:18" x14ac:dyDescent="0.35">
      <c r="A2" t="s">
        <v>34</v>
      </c>
    </row>
    <row r="3" spans="1:18" x14ac:dyDescent="0.35">
      <c r="A3" t="s">
        <v>160</v>
      </c>
    </row>
    <row r="4" spans="1:18" x14ac:dyDescent="0.35">
      <c r="A4" s="3" t="str">
        <f>HYPERLINK("#Notes!A1", "Link to Notes table")</f>
        <v>Link to Notes table</v>
      </c>
    </row>
    <row r="5" spans="1:18" ht="15.45" thickBot="1" x14ac:dyDescent="0.4">
      <c r="A5" s="3" t="s">
        <v>161</v>
      </c>
    </row>
    <row r="6" spans="1:18" ht="46.75" thickBot="1" x14ac:dyDescent="0.45">
      <c r="A6" s="112" t="s">
        <v>310</v>
      </c>
      <c r="B6" s="10" t="s">
        <v>270</v>
      </c>
      <c r="C6" s="10" t="s">
        <v>271</v>
      </c>
      <c r="D6" s="10" t="s">
        <v>272</v>
      </c>
      <c r="E6" s="10" t="s">
        <v>273</v>
      </c>
      <c r="F6" s="10" t="s">
        <v>274</v>
      </c>
      <c r="G6" s="10" t="s">
        <v>275</v>
      </c>
      <c r="H6" s="10" t="s">
        <v>276</v>
      </c>
      <c r="I6" s="10" t="s">
        <v>277</v>
      </c>
      <c r="J6" s="10" t="s">
        <v>278</v>
      </c>
      <c r="K6" s="10" t="s">
        <v>279</v>
      </c>
      <c r="L6" s="10" t="s">
        <v>280</v>
      </c>
      <c r="M6" s="10" t="s">
        <v>281</v>
      </c>
      <c r="N6" s="19" t="s">
        <v>282</v>
      </c>
      <c r="O6" s="19" t="s">
        <v>283</v>
      </c>
      <c r="P6" s="19" t="s">
        <v>177</v>
      </c>
      <c r="Q6" s="19" t="s">
        <v>178</v>
      </c>
      <c r="R6" s="7" t="s">
        <v>179</v>
      </c>
    </row>
    <row r="7" spans="1:18" ht="25" customHeight="1" x14ac:dyDescent="0.35">
      <c r="A7" s="11" t="s">
        <v>311</v>
      </c>
      <c r="B7" s="8">
        <v>19064</v>
      </c>
      <c r="C7" s="8">
        <v>20690</v>
      </c>
      <c r="D7" s="8">
        <v>21001</v>
      </c>
      <c r="E7" s="8">
        <v>21778</v>
      </c>
      <c r="F7" s="8">
        <v>22337</v>
      </c>
      <c r="G7" s="8">
        <v>21055</v>
      </c>
      <c r="H7" s="8">
        <v>24981</v>
      </c>
      <c r="I7" s="8">
        <v>24715</v>
      </c>
      <c r="J7" s="8">
        <v>22257</v>
      </c>
      <c r="K7" s="8">
        <v>22652</v>
      </c>
      <c r="L7" s="8">
        <v>21790</v>
      </c>
      <c r="M7" s="8">
        <v>20030</v>
      </c>
      <c r="N7" s="20">
        <v>17914</v>
      </c>
      <c r="O7" s="20">
        <v>22288.799999999999</v>
      </c>
      <c r="P7" s="23">
        <v>-19.6277951258031</v>
      </c>
      <c r="Q7" s="23">
        <v>-10.564153769345999</v>
      </c>
      <c r="R7" s="17" t="s">
        <v>181</v>
      </c>
    </row>
    <row r="8" spans="1:18" ht="25" customHeight="1" x14ac:dyDescent="0.35">
      <c r="A8" s="11" t="s">
        <v>312</v>
      </c>
      <c r="B8" s="8">
        <v>5459</v>
      </c>
      <c r="C8" s="8">
        <v>4568</v>
      </c>
      <c r="D8" s="8">
        <v>4933</v>
      </c>
      <c r="E8" s="8">
        <v>4432</v>
      </c>
      <c r="F8" s="8">
        <v>5098</v>
      </c>
      <c r="G8" s="8">
        <v>5106</v>
      </c>
      <c r="H8" s="8">
        <v>6298</v>
      </c>
      <c r="I8" s="8">
        <v>6580</v>
      </c>
      <c r="J8" s="8">
        <v>5833</v>
      </c>
      <c r="K8" s="8">
        <v>5934</v>
      </c>
      <c r="L8" s="8">
        <v>5268</v>
      </c>
      <c r="M8" s="8">
        <v>4747</v>
      </c>
      <c r="N8" s="20">
        <v>4297</v>
      </c>
      <c r="O8" s="20">
        <v>5672.4</v>
      </c>
      <c r="P8" s="23">
        <v>-24.247232212114799</v>
      </c>
      <c r="Q8" s="23">
        <v>-9.4796713713924596</v>
      </c>
      <c r="R8" s="17" t="s">
        <v>181</v>
      </c>
    </row>
    <row r="9" spans="1:18" ht="25" customHeight="1" x14ac:dyDescent="0.35">
      <c r="A9" s="11" t="s">
        <v>313</v>
      </c>
      <c r="B9" s="8">
        <v>4261</v>
      </c>
      <c r="C9" s="8">
        <v>4970</v>
      </c>
      <c r="D9" s="8">
        <v>4900</v>
      </c>
      <c r="E9" s="8">
        <v>4748</v>
      </c>
      <c r="F9" s="8">
        <v>4609</v>
      </c>
      <c r="G9" s="8">
        <v>4229</v>
      </c>
      <c r="H9" s="8">
        <v>4885</v>
      </c>
      <c r="I9" s="8">
        <v>4619</v>
      </c>
      <c r="J9" s="8">
        <v>4683</v>
      </c>
      <c r="K9" s="8">
        <v>4824</v>
      </c>
      <c r="L9" s="8">
        <v>4088</v>
      </c>
      <c r="M9" s="8">
        <v>3911</v>
      </c>
      <c r="N9" s="20">
        <v>3406</v>
      </c>
      <c r="O9" s="20">
        <v>4425</v>
      </c>
      <c r="P9" s="23">
        <v>-23.028248587570602</v>
      </c>
      <c r="Q9" s="23">
        <v>-12.912298644847899</v>
      </c>
      <c r="R9" s="17" t="s">
        <v>181</v>
      </c>
    </row>
    <row r="10" spans="1:18" ht="25" customHeight="1" x14ac:dyDescent="0.4">
      <c r="A10" s="12" t="s">
        <v>314</v>
      </c>
      <c r="B10" s="9">
        <v>28784</v>
      </c>
      <c r="C10" s="9">
        <v>30228</v>
      </c>
      <c r="D10" s="9">
        <v>30834</v>
      </c>
      <c r="E10" s="9">
        <v>30958</v>
      </c>
      <c r="F10" s="9">
        <v>32044</v>
      </c>
      <c r="G10" s="9">
        <v>30390</v>
      </c>
      <c r="H10" s="9">
        <v>36164</v>
      </c>
      <c r="I10" s="9">
        <v>35914</v>
      </c>
      <c r="J10" s="9">
        <v>32773</v>
      </c>
      <c r="K10" s="9">
        <v>33410</v>
      </c>
      <c r="L10" s="9">
        <v>31146</v>
      </c>
      <c r="M10" s="9">
        <v>28688</v>
      </c>
      <c r="N10" s="21">
        <v>25617</v>
      </c>
      <c r="O10" s="21">
        <v>32386.2</v>
      </c>
      <c r="P10" s="138">
        <v>-20.901495081238298</v>
      </c>
      <c r="Q10" s="138">
        <v>-10.7048243167875</v>
      </c>
      <c r="R10" s="18" t="s">
        <v>181</v>
      </c>
    </row>
    <row r="11" spans="1:18" ht="25" customHeight="1" x14ac:dyDescent="0.35">
      <c r="A11" s="11" t="s">
        <v>315</v>
      </c>
      <c r="B11" s="8">
        <v>668</v>
      </c>
      <c r="C11" s="8">
        <v>610</v>
      </c>
      <c r="D11" s="8">
        <v>767</v>
      </c>
      <c r="E11" s="8">
        <v>708</v>
      </c>
      <c r="F11" s="8">
        <v>668</v>
      </c>
      <c r="G11" s="8">
        <v>805</v>
      </c>
      <c r="H11" s="8">
        <v>741</v>
      </c>
      <c r="I11" s="8">
        <v>726</v>
      </c>
      <c r="J11" s="8">
        <v>857</v>
      </c>
      <c r="K11" s="8">
        <v>872</v>
      </c>
      <c r="L11" s="8">
        <v>1010</v>
      </c>
      <c r="M11" s="8">
        <v>604</v>
      </c>
      <c r="N11" s="20">
        <v>595</v>
      </c>
      <c r="O11" s="20">
        <v>813.8</v>
      </c>
      <c r="P11" s="23">
        <v>-26.886212828704799</v>
      </c>
      <c r="Q11" s="23">
        <v>-1.4900662251655601</v>
      </c>
      <c r="R11" s="17" t="s">
        <v>181</v>
      </c>
    </row>
    <row r="12" spans="1:18" ht="25" customHeight="1" x14ac:dyDescent="0.35">
      <c r="A12" s="11" t="s">
        <v>316</v>
      </c>
      <c r="B12" s="8">
        <v>5418</v>
      </c>
      <c r="C12" s="8">
        <v>5007</v>
      </c>
      <c r="D12" s="8">
        <v>6783</v>
      </c>
      <c r="E12" s="8">
        <v>4239</v>
      </c>
      <c r="F12" s="8">
        <v>3824</v>
      </c>
      <c r="G12" s="8">
        <v>5556</v>
      </c>
      <c r="H12" s="8">
        <v>4802</v>
      </c>
      <c r="I12" s="8">
        <v>4246</v>
      </c>
      <c r="J12" s="8">
        <v>5011</v>
      </c>
      <c r="K12" s="8">
        <v>5112</v>
      </c>
      <c r="L12" s="8">
        <v>8248</v>
      </c>
      <c r="M12" s="8">
        <v>6871</v>
      </c>
      <c r="N12" s="20">
        <v>3965</v>
      </c>
      <c r="O12" s="20">
        <v>5897.6</v>
      </c>
      <c r="P12" s="23">
        <v>-32.769262072707498</v>
      </c>
      <c r="Q12" s="23">
        <v>-42.293698151651903</v>
      </c>
      <c r="R12" s="17" t="s">
        <v>181</v>
      </c>
    </row>
    <row r="13" spans="1:18" ht="25" customHeight="1" x14ac:dyDescent="0.35">
      <c r="A13" s="11" t="s">
        <v>317</v>
      </c>
      <c r="B13" s="8">
        <v>1141</v>
      </c>
      <c r="C13" s="8">
        <v>923</v>
      </c>
      <c r="D13" s="8">
        <v>856</v>
      </c>
      <c r="E13" s="8">
        <v>763</v>
      </c>
      <c r="F13" s="8">
        <v>1390</v>
      </c>
      <c r="G13" s="8">
        <v>734</v>
      </c>
      <c r="H13" s="8">
        <v>784</v>
      </c>
      <c r="I13" s="8">
        <v>919</v>
      </c>
      <c r="J13" s="8">
        <v>827</v>
      </c>
      <c r="K13" s="8">
        <v>835</v>
      </c>
      <c r="L13" s="8">
        <v>785</v>
      </c>
      <c r="M13" s="8">
        <v>679</v>
      </c>
      <c r="N13" s="20">
        <v>627</v>
      </c>
      <c r="O13" s="20">
        <v>809</v>
      </c>
      <c r="P13" s="23">
        <v>-22.4969097651421</v>
      </c>
      <c r="Q13" s="23">
        <v>-7.6583210603829199</v>
      </c>
      <c r="R13" s="17" t="s">
        <v>181</v>
      </c>
    </row>
    <row r="14" spans="1:18" ht="25" customHeight="1" x14ac:dyDescent="0.4">
      <c r="A14" s="12" t="s">
        <v>318</v>
      </c>
      <c r="B14" s="9">
        <v>7227</v>
      </c>
      <c r="C14" s="9">
        <v>6540</v>
      </c>
      <c r="D14" s="9">
        <v>8406</v>
      </c>
      <c r="E14" s="9">
        <v>5710</v>
      </c>
      <c r="F14" s="9">
        <v>5882</v>
      </c>
      <c r="G14" s="9">
        <v>7095</v>
      </c>
      <c r="H14" s="9">
        <v>6327</v>
      </c>
      <c r="I14" s="9">
        <v>5891</v>
      </c>
      <c r="J14" s="9">
        <v>6695</v>
      </c>
      <c r="K14" s="9">
        <v>6819</v>
      </c>
      <c r="L14" s="9">
        <v>10043</v>
      </c>
      <c r="M14" s="9">
        <v>8154</v>
      </c>
      <c r="N14" s="21">
        <v>5187</v>
      </c>
      <c r="O14" s="21">
        <v>7520.4</v>
      </c>
      <c r="P14" s="138">
        <v>-31.027604914632199</v>
      </c>
      <c r="Q14" s="138">
        <v>-36.387049300956598</v>
      </c>
      <c r="R14" s="18" t="s">
        <v>181</v>
      </c>
    </row>
    <row r="15" spans="1:18" ht="25" customHeight="1" x14ac:dyDescent="0.35">
      <c r="A15" s="11" t="s">
        <v>319</v>
      </c>
      <c r="B15" s="8">
        <v>46353</v>
      </c>
      <c r="C15" s="8">
        <v>53617</v>
      </c>
      <c r="D15" s="8">
        <v>47401</v>
      </c>
      <c r="E15" s="8">
        <v>52516</v>
      </c>
      <c r="F15" s="8">
        <v>50577</v>
      </c>
      <c r="G15" s="8">
        <v>47163</v>
      </c>
      <c r="H15" s="8">
        <v>54142</v>
      </c>
      <c r="I15" s="8">
        <v>61858</v>
      </c>
      <c r="J15" s="8">
        <v>68346</v>
      </c>
      <c r="K15" s="8">
        <v>69751</v>
      </c>
      <c r="L15" s="8">
        <v>61113</v>
      </c>
      <c r="M15" s="8">
        <v>48335</v>
      </c>
      <c r="N15" s="20">
        <v>46001</v>
      </c>
      <c r="O15" s="20">
        <v>61880.6</v>
      </c>
      <c r="P15" s="23">
        <v>-25.6616774885828</v>
      </c>
      <c r="Q15" s="23">
        <v>-4.8287990069308</v>
      </c>
      <c r="R15" s="17" t="s">
        <v>181</v>
      </c>
    </row>
    <row r="16" spans="1:18" ht="25" customHeight="1" x14ac:dyDescent="0.35">
      <c r="A16" s="11" t="s">
        <v>320</v>
      </c>
      <c r="B16" s="8">
        <v>60792</v>
      </c>
      <c r="C16" s="8">
        <v>60528</v>
      </c>
      <c r="D16" s="8">
        <v>64451</v>
      </c>
      <c r="E16" s="8">
        <v>68725</v>
      </c>
      <c r="F16" s="8">
        <v>68964</v>
      </c>
      <c r="G16" s="8">
        <v>57739</v>
      </c>
      <c r="H16" s="8">
        <v>51701</v>
      </c>
      <c r="I16" s="8">
        <v>50952</v>
      </c>
      <c r="J16" s="8">
        <v>57272</v>
      </c>
      <c r="K16" s="8">
        <v>58477</v>
      </c>
      <c r="L16" s="8">
        <v>50601</v>
      </c>
      <c r="M16" s="8">
        <v>37964</v>
      </c>
      <c r="N16" s="20">
        <v>36585</v>
      </c>
      <c r="O16" s="20">
        <v>51053.2</v>
      </c>
      <c r="P16" s="23">
        <v>-28.3394576637703</v>
      </c>
      <c r="Q16" s="23">
        <v>-3.63238857865346</v>
      </c>
      <c r="R16" s="17" t="s">
        <v>181</v>
      </c>
    </row>
    <row r="17" spans="1:18" ht="25" customHeight="1" x14ac:dyDescent="0.35">
      <c r="A17" s="11" t="s">
        <v>321</v>
      </c>
      <c r="B17" s="8">
        <v>164680</v>
      </c>
      <c r="C17" s="8">
        <v>165385</v>
      </c>
      <c r="D17" s="8">
        <v>166656</v>
      </c>
      <c r="E17" s="8">
        <v>172297</v>
      </c>
      <c r="F17" s="8">
        <v>168374</v>
      </c>
      <c r="G17" s="8">
        <v>174349</v>
      </c>
      <c r="H17" s="8">
        <v>170931</v>
      </c>
      <c r="I17" s="8">
        <v>183386</v>
      </c>
      <c r="J17" s="8">
        <v>176128</v>
      </c>
      <c r="K17" s="8">
        <v>177308</v>
      </c>
      <c r="L17" s="8">
        <v>190288</v>
      </c>
      <c r="M17" s="8">
        <v>192361</v>
      </c>
      <c r="N17" s="20">
        <v>198922</v>
      </c>
      <c r="O17" s="20">
        <v>183894.2</v>
      </c>
      <c r="P17" s="23">
        <v>8.1719814980570291</v>
      </c>
      <c r="Q17" s="23">
        <v>3.41077453329937</v>
      </c>
      <c r="R17" s="17" t="s">
        <v>322</v>
      </c>
    </row>
    <row r="18" spans="1:18" ht="25" customHeight="1" x14ac:dyDescent="0.4">
      <c r="A18" s="12" t="s">
        <v>323</v>
      </c>
      <c r="B18" s="9">
        <v>271825</v>
      </c>
      <c r="C18" s="9">
        <v>279530</v>
      </c>
      <c r="D18" s="9">
        <v>278508</v>
      </c>
      <c r="E18" s="9">
        <v>293538</v>
      </c>
      <c r="F18" s="9">
        <v>287915</v>
      </c>
      <c r="G18" s="9">
        <v>279251</v>
      </c>
      <c r="H18" s="9">
        <v>276774</v>
      </c>
      <c r="I18" s="9">
        <v>296196</v>
      </c>
      <c r="J18" s="9">
        <v>301746</v>
      </c>
      <c r="K18" s="9">
        <v>305536</v>
      </c>
      <c r="L18" s="9">
        <v>302001</v>
      </c>
      <c r="M18" s="9">
        <v>278660</v>
      </c>
      <c r="N18" s="21">
        <v>281508</v>
      </c>
      <c r="O18" s="21">
        <v>296827.8</v>
      </c>
      <c r="P18" s="138">
        <v>-5.1611742565891703</v>
      </c>
      <c r="Q18" s="138">
        <v>1.0220340199526301</v>
      </c>
      <c r="R18" s="18" t="s">
        <v>181</v>
      </c>
    </row>
    <row r="19" spans="1:18" ht="25" customHeight="1" thickBot="1" x14ac:dyDescent="0.45">
      <c r="A19" s="25" t="s">
        <v>324</v>
      </c>
      <c r="B19" s="29">
        <v>307836</v>
      </c>
      <c r="C19" s="29">
        <v>316298</v>
      </c>
      <c r="D19" s="29">
        <v>317748</v>
      </c>
      <c r="E19" s="29">
        <v>330206</v>
      </c>
      <c r="F19" s="29">
        <v>325841</v>
      </c>
      <c r="G19" s="29">
        <v>316736</v>
      </c>
      <c r="H19" s="29">
        <v>319265</v>
      </c>
      <c r="I19" s="29">
        <v>338001</v>
      </c>
      <c r="J19" s="29">
        <v>341214</v>
      </c>
      <c r="K19" s="29">
        <v>345765</v>
      </c>
      <c r="L19" s="29">
        <v>343190</v>
      </c>
      <c r="M19" s="29">
        <v>315502</v>
      </c>
      <c r="N19" s="30">
        <v>312312</v>
      </c>
      <c r="O19" s="30">
        <v>336734.4</v>
      </c>
      <c r="P19" s="32">
        <v>-7.2527190569184601</v>
      </c>
      <c r="Q19" s="32">
        <v>-1.01108709295028</v>
      </c>
      <c r="R19" s="27" t="s">
        <v>181</v>
      </c>
    </row>
  </sheetData>
  <hyperlinks>
    <hyperlink ref="A5" r:id="rId1" xr:uid="{00000000-0004-0000-0700-000000000000}"/>
  </hyperlinks>
  <pageMargins left="0.7" right="0.7" top="0.75" bottom="0.75" header="0.3" footer="0.3"/>
  <pageSetup paperSize="9" orientation="portrait" horizontalDpi="300" verticalDpi="300"/>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6"/>
  <sheetViews>
    <sheetView showGridLines="0" zoomScaleNormal="100" workbookViewId="0"/>
  </sheetViews>
  <sheetFormatPr defaultColWidth="11.5625" defaultRowHeight="15" x14ac:dyDescent="0.35"/>
  <cols>
    <col min="1" max="1" width="50.6875" customWidth="1"/>
    <col min="2" max="14" width="15.5625" customWidth="1"/>
    <col min="15" max="15" width="15.75" customWidth="1"/>
    <col min="18" max="18" width="13.75" bestFit="1" customWidth="1"/>
  </cols>
  <sheetData>
    <row r="1" spans="1:18" ht="20.149999999999999" x14ac:dyDescent="0.5">
      <c r="A1" s="1" t="s">
        <v>325</v>
      </c>
    </row>
    <row r="2" spans="1:18" x14ac:dyDescent="0.35">
      <c r="A2" t="s">
        <v>34</v>
      </c>
    </row>
    <row r="3" spans="1:18" x14ac:dyDescent="0.35">
      <c r="A3" t="s">
        <v>160</v>
      </c>
    </row>
    <row r="4" spans="1:18" x14ac:dyDescent="0.35">
      <c r="A4" s="3" t="str">
        <f>HYPERLINK("#Notes!A1", "Link to Notes table")</f>
        <v>Link to Notes table</v>
      </c>
    </row>
    <row r="5" spans="1:18" x14ac:dyDescent="0.35">
      <c r="A5" s="3" t="s">
        <v>161</v>
      </c>
    </row>
    <row r="6" spans="1:18" ht="45" customHeight="1" thickBot="1" x14ac:dyDescent="0.45">
      <c r="A6" s="46" t="s">
        <v>326</v>
      </c>
      <c r="B6" s="26" t="s">
        <v>270</v>
      </c>
      <c r="C6" s="26" t="s">
        <v>271</v>
      </c>
      <c r="D6" s="26" t="s">
        <v>272</v>
      </c>
      <c r="E6" s="26" t="s">
        <v>273</v>
      </c>
      <c r="F6" s="26" t="s">
        <v>274</v>
      </c>
      <c r="G6" s="26" t="s">
        <v>275</v>
      </c>
      <c r="H6" s="26" t="s">
        <v>276</v>
      </c>
      <c r="I6" s="26" t="s">
        <v>277</v>
      </c>
      <c r="J6" s="26" t="s">
        <v>278</v>
      </c>
      <c r="K6" s="26" t="s">
        <v>279</v>
      </c>
      <c r="L6" s="26" t="s">
        <v>280</v>
      </c>
      <c r="M6" s="26" t="s">
        <v>281</v>
      </c>
      <c r="N6" s="26" t="s">
        <v>282</v>
      </c>
      <c r="O6" s="146" t="s">
        <v>178</v>
      </c>
    </row>
    <row r="7" spans="1:18" ht="25" customHeight="1" x14ac:dyDescent="0.35">
      <c r="A7" s="15" t="s">
        <v>327</v>
      </c>
      <c r="B7" s="8">
        <v>3539396</v>
      </c>
      <c r="C7" s="8">
        <v>3824321</v>
      </c>
      <c r="D7" s="8">
        <v>4369578</v>
      </c>
      <c r="E7" s="8">
        <v>4645964</v>
      </c>
      <c r="F7" s="8">
        <v>5005491</v>
      </c>
      <c r="G7" s="8">
        <v>5421804</v>
      </c>
      <c r="H7" s="8">
        <v>5454072</v>
      </c>
      <c r="I7" s="8">
        <v>4889709</v>
      </c>
      <c r="J7" s="8">
        <v>4747504</v>
      </c>
      <c r="K7" s="8">
        <v>4662548</v>
      </c>
      <c r="L7" s="8">
        <v>4888704</v>
      </c>
      <c r="M7" s="8">
        <v>4562038</v>
      </c>
      <c r="N7" s="8">
        <v>4522496</v>
      </c>
      <c r="O7" s="147">
        <v>-0.86676174113411442</v>
      </c>
      <c r="R7" s="148"/>
    </row>
    <row r="8" spans="1:18" ht="25" customHeight="1" x14ac:dyDescent="0.35">
      <c r="A8" s="15" t="s">
        <v>328</v>
      </c>
      <c r="B8" s="8">
        <v>1239825</v>
      </c>
      <c r="C8" s="8">
        <v>1885032</v>
      </c>
      <c r="D8" s="8">
        <v>1740903</v>
      </c>
      <c r="E8" s="8">
        <v>1535615</v>
      </c>
      <c r="F8" s="8">
        <v>1691109</v>
      </c>
      <c r="G8" s="8">
        <v>1236946</v>
      </c>
      <c r="H8" s="8">
        <v>1707633</v>
      </c>
      <c r="I8" s="8">
        <v>1446924</v>
      </c>
      <c r="J8" s="8">
        <v>1632924</v>
      </c>
      <c r="K8" s="8">
        <v>1517913</v>
      </c>
      <c r="L8" s="8">
        <v>1093992</v>
      </c>
      <c r="M8" s="8">
        <v>1418419</v>
      </c>
      <c r="N8" s="8">
        <v>1414991</v>
      </c>
      <c r="O8" s="147">
        <v>-0.24167752970032375</v>
      </c>
      <c r="R8" s="148"/>
    </row>
    <row r="9" spans="1:18" ht="25" customHeight="1" x14ac:dyDescent="0.4">
      <c r="A9" s="16" t="s">
        <v>329</v>
      </c>
      <c r="B9" s="9">
        <v>4779221</v>
      </c>
      <c r="C9" s="9">
        <v>5709353</v>
      </c>
      <c r="D9" s="9">
        <v>6110481</v>
      </c>
      <c r="E9" s="9">
        <v>6181579</v>
      </c>
      <c r="F9" s="9">
        <v>6696600</v>
      </c>
      <c r="G9" s="9">
        <v>6658750</v>
      </c>
      <c r="H9" s="9">
        <v>7161705</v>
      </c>
      <c r="I9" s="9">
        <v>6336633</v>
      </c>
      <c r="J9" s="9">
        <v>6380428</v>
      </c>
      <c r="K9" s="9">
        <v>6180461</v>
      </c>
      <c r="L9" s="9">
        <v>5982696</v>
      </c>
      <c r="M9" s="9">
        <v>5980457</v>
      </c>
      <c r="N9" s="9">
        <v>5937487</v>
      </c>
      <c r="O9" s="149">
        <v>-0.71850696359826438</v>
      </c>
      <c r="R9" s="148"/>
    </row>
    <row r="10" spans="1:18" ht="25" customHeight="1" x14ac:dyDescent="0.35">
      <c r="A10" s="15" t="s">
        <v>330</v>
      </c>
      <c r="B10" s="8">
        <v>1083481</v>
      </c>
      <c r="C10" s="8">
        <v>975196</v>
      </c>
      <c r="D10" s="8">
        <v>1061091</v>
      </c>
      <c r="E10" s="8">
        <v>1204976</v>
      </c>
      <c r="F10" s="8">
        <v>1152764</v>
      </c>
      <c r="G10" s="8">
        <v>1249378</v>
      </c>
      <c r="H10" s="8">
        <v>1361599</v>
      </c>
      <c r="I10" s="8">
        <v>1192661</v>
      </c>
      <c r="J10" s="8">
        <v>1052048</v>
      </c>
      <c r="K10" s="8">
        <v>1025829</v>
      </c>
      <c r="L10" s="8">
        <v>850806</v>
      </c>
      <c r="M10" s="8">
        <v>1004532</v>
      </c>
      <c r="N10" s="8">
        <v>930745</v>
      </c>
      <c r="O10" s="147">
        <v>-7.3454105991645813</v>
      </c>
      <c r="R10" s="148"/>
    </row>
    <row r="11" spans="1:18" ht="25" customHeight="1" x14ac:dyDescent="0.35">
      <c r="A11" s="15" t="s">
        <v>331</v>
      </c>
      <c r="B11" s="8">
        <v>127472</v>
      </c>
      <c r="C11" s="8">
        <v>136926</v>
      </c>
      <c r="D11" s="8">
        <v>128092</v>
      </c>
      <c r="E11" s="8">
        <v>132073</v>
      </c>
      <c r="F11" s="8">
        <v>132178</v>
      </c>
      <c r="G11" s="8">
        <v>130937</v>
      </c>
      <c r="H11" s="8">
        <v>133941</v>
      </c>
      <c r="I11" s="8">
        <v>127768</v>
      </c>
      <c r="J11" s="8">
        <v>138618</v>
      </c>
      <c r="K11" s="8">
        <v>124261</v>
      </c>
      <c r="L11" s="8">
        <v>112841</v>
      </c>
      <c r="M11" s="8">
        <v>122274</v>
      </c>
      <c r="N11" s="8">
        <v>120448</v>
      </c>
      <c r="O11" s="147">
        <v>-1.4933673552840365</v>
      </c>
      <c r="R11" s="148"/>
    </row>
    <row r="12" spans="1:18" ht="25" customHeight="1" x14ac:dyDescent="0.4">
      <c r="A12" s="16" t="s">
        <v>332</v>
      </c>
      <c r="B12" s="9">
        <v>1210953</v>
      </c>
      <c r="C12" s="9">
        <v>1112122</v>
      </c>
      <c r="D12" s="9">
        <v>1189183</v>
      </c>
      <c r="E12" s="9">
        <v>1337049</v>
      </c>
      <c r="F12" s="9">
        <v>1284942</v>
      </c>
      <c r="G12" s="9">
        <v>1380315</v>
      </c>
      <c r="H12" s="9">
        <v>1495540</v>
      </c>
      <c r="I12" s="9">
        <v>1320429</v>
      </c>
      <c r="J12" s="9">
        <v>1190666</v>
      </c>
      <c r="K12" s="9">
        <v>1150090</v>
      </c>
      <c r="L12" s="9">
        <v>963647</v>
      </c>
      <c r="M12" s="9">
        <v>1126806</v>
      </c>
      <c r="N12" s="9">
        <v>1051193</v>
      </c>
      <c r="O12" s="149">
        <v>-6.7103831537993264</v>
      </c>
      <c r="R12" s="148"/>
    </row>
    <row r="13" spans="1:18" ht="25" customHeight="1" x14ac:dyDescent="0.35">
      <c r="A13" s="15" t="s">
        <v>333</v>
      </c>
      <c r="B13" s="8">
        <v>8086193</v>
      </c>
      <c r="C13" s="8">
        <v>7804746</v>
      </c>
      <c r="D13" s="8">
        <v>5669826</v>
      </c>
      <c r="E13" s="8">
        <v>6603194</v>
      </c>
      <c r="F13" s="8">
        <v>6242149</v>
      </c>
      <c r="G13" s="8">
        <v>6952334</v>
      </c>
      <c r="H13" s="8">
        <v>6220942</v>
      </c>
      <c r="I13" s="8">
        <v>6707229</v>
      </c>
      <c r="J13" s="8">
        <v>6307810</v>
      </c>
      <c r="K13" s="8">
        <v>6673626</v>
      </c>
      <c r="L13" s="8">
        <v>4673633</v>
      </c>
      <c r="M13" s="8">
        <v>4808022</v>
      </c>
      <c r="N13" s="8">
        <v>5331971</v>
      </c>
      <c r="O13" s="147">
        <v>10.897391900453023</v>
      </c>
      <c r="R13" s="148"/>
    </row>
    <row r="14" spans="1:18" ht="25" customHeight="1" x14ac:dyDescent="0.35">
      <c r="A14" s="15" t="s">
        <v>334</v>
      </c>
      <c r="B14" s="8">
        <v>12259</v>
      </c>
      <c r="C14" s="8">
        <v>11693</v>
      </c>
      <c r="D14" s="8">
        <v>10488</v>
      </c>
      <c r="E14" s="8">
        <v>10312</v>
      </c>
      <c r="F14" s="8">
        <v>12778</v>
      </c>
      <c r="G14" s="8">
        <v>13870</v>
      </c>
      <c r="H14" s="8">
        <v>15717</v>
      </c>
      <c r="I14" s="8">
        <v>15732</v>
      </c>
      <c r="J14" s="8">
        <v>13319</v>
      </c>
      <c r="K14" s="8">
        <v>13316</v>
      </c>
      <c r="L14" s="8">
        <v>1551</v>
      </c>
      <c r="M14" s="8">
        <v>2701</v>
      </c>
      <c r="N14" s="8">
        <v>3265</v>
      </c>
      <c r="O14" s="147">
        <v>20.881155127730477</v>
      </c>
      <c r="R14" s="148"/>
    </row>
    <row r="15" spans="1:18" ht="25" customHeight="1" x14ac:dyDescent="0.35">
      <c r="A15" s="15" t="s">
        <v>335</v>
      </c>
      <c r="B15" s="8">
        <v>95389</v>
      </c>
      <c r="C15" s="8">
        <v>104182</v>
      </c>
      <c r="D15" s="8">
        <v>75190</v>
      </c>
      <c r="E15" s="8">
        <v>72614</v>
      </c>
      <c r="F15" s="8">
        <v>52983</v>
      </c>
      <c r="G15" s="8">
        <v>54374</v>
      </c>
      <c r="H15" s="8">
        <v>57775</v>
      </c>
      <c r="I15" s="8">
        <v>59639</v>
      </c>
      <c r="J15" s="8">
        <v>61981</v>
      </c>
      <c r="K15" s="8">
        <v>62068</v>
      </c>
      <c r="L15" s="8">
        <v>63812</v>
      </c>
      <c r="M15" s="8">
        <v>86009</v>
      </c>
      <c r="N15" s="8">
        <v>95167</v>
      </c>
      <c r="O15" s="147">
        <v>10.647722912718427</v>
      </c>
      <c r="R15" s="148"/>
    </row>
    <row r="16" spans="1:18" ht="25" customHeight="1" x14ac:dyDescent="0.4">
      <c r="A16" s="16" t="s">
        <v>336</v>
      </c>
      <c r="B16" s="68">
        <v>14184015</v>
      </c>
      <c r="C16" s="9">
        <v>14742096</v>
      </c>
      <c r="D16" s="9">
        <v>13055168</v>
      </c>
      <c r="E16" s="9">
        <v>14204748</v>
      </c>
      <c r="F16" s="9">
        <v>14289452</v>
      </c>
      <c r="G16" s="9">
        <v>15059643</v>
      </c>
      <c r="H16" s="9">
        <v>14951679</v>
      </c>
      <c r="I16" s="9">
        <v>14439662</v>
      </c>
      <c r="J16" s="9">
        <v>13954204</v>
      </c>
      <c r="K16" s="9">
        <v>14079561</v>
      </c>
      <c r="L16" s="9">
        <v>11685339</v>
      </c>
      <c r="M16" s="9">
        <v>12003995</v>
      </c>
      <c r="N16" s="9">
        <v>12419083</v>
      </c>
      <c r="O16" s="149">
        <v>3.4579154689751146</v>
      </c>
      <c r="R16" s="148"/>
    </row>
  </sheetData>
  <hyperlinks>
    <hyperlink ref="A5" r:id="rId1" xr:uid="{00000000-0004-0000-0800-000000000000}"/>
  </hyperlinks>
  <pageMargins left="0.7" right="0.7" top="0.75" bottom="0.75" header="0.3" footer="0.3"/>
  <pageSetup paperSize="9" orientation="portrait" horizontalDpi="300" verticalDpi="300"/>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12"/>
  <sheetViews>
    <sheetView showGridLines="0" zoomScaleNormal="100" workbookViewId="0"/>
  </sheetViews>
  <sheetFormatPr defaultColWidth="11.5625" defaultRowHeight="15" x14ac:dyDescent="0.35"/>
  <cols>
    <col min="1" max="1" width="50.6875" customWidth="1"/>
    <col min="2" max="17" width="15.5625" customWidth="1"/>
    <col min="18" max="18" width="28.3125" style="6" customWidth="1"/>
  </cols>
  <sheetData>
    <row r="1" spans="1:18" ht="20.25" customHeight="1" x14ac:dyDescent="0.5">
      <c r="A1" s="1" t="s">
        <v>337</v>
      </c>
    </row>
    <row r="2" spans="1:18" x14ac:dyDescent="0.35">
      <c r="A2" t="s">
        <v>34</v>
      </c>
    </row>
    <row r="3" spans="1:18" x14ac:dyDescent="0.35">
      <c r="A3" t="s">
        <v>160</v>
      </c>
    </row>
    <row r="4" spans="1:18" x14ac:dyDescent="0.35">
      <c r="A4" s="3" t="str">
        <f>HYPERLINK("#Notes!A1", "Link to Notes table")</f>
        <v>Link to Notes table</v>
      </c>
    </row>
    <row r="5" spans="1:18" ht="15.45" thickBot="1" x14ac:dyDescent="0.4">
      <c r="A5" s="3" t="s">
        <v>161</v>
      </c>
    </row>
    <row r="6" spans="1:18" ht="46.75" thickBot="1" x14ac:dyDescent="0.45">
      <c r="A6" s="5" t="s">
        <v>338</v>
      </c>
      <c r="B6" s="150" t="s">
        <v>270</v>
      </c>
      <c r="C6" s="10" t="s">
        <v>271</v>
      </c>
      <c r="D6" s="10" t="s">
        <v>272</v>
      </c>
      <c r="E6" s="10" t="s">
        <v>273</v>
      </c>
      <c r="F6" s="10" t="s">
        <v>274</v>
      </c>
      <c r="G6" s="10" t="s">
        <v>275</v>
      </c>
      <c r="H6" s="10" t="s">
        <v>276</v>
      </c>
      <c r="I6" s="10" t="s">
        <v>277</v>
      </c>
      <c r="J6" s="10" t="s">
        <v>278</v>
      </c>
      <c r="K6" s="10" t="s">
        <v>279</v>
      </c>
      <c r="L6" s="10" t="s">
        <v>280</v>
      </c>
      <c r="M6" s="10" t="s">
        <v>281</v>
      </c>
      <c r="N6" s="19" t="s">
        <v>282</v>
      </c>
      <c r="O6" s="19" t="s">
        <v>283</v>
      </c>
      <c r="P6" s="19" t="s">
        <v>177</v>
      </c>
      <c r="Q6" s="19" t="s">
        <v>178</v>
      </c>
      <c r="R6" s="7" t="s">
        <v>179</v>
      </c>
    </row>
    <row r="7" spans="1:18" ht="25" customHeight="1" x14ac:dyDescent="0.35">
      <c r="A7" s="11" t="s">
        <v>339</v>
      </c>
      <c r="B7" s="89">
        <v>6274</v>
      </c>
      <c r="C7" s="8">
        <v>7007</v>
      </c>
      <c r="D7" s="8">
        <v>7236</v>
      </c>
      <c r="E7" s="8">
        <v>7005</v>
      </c>
      <c r="F7" s="8">
        <v>8039</v>
      </c>
      <c r="G7" s="8">
        <v>9660</v>
      </c>
      <c r="H7" s="8">
        <v>13218</v>
      </c>
      <c r="I7" s="8">
        <v>14102</v>
      </c>
      <c r="J7" s="8">
        <v>17131</v>
      </c>
      <c r="K7" s="8">
        <v>17131</v>
      </c>
      <c r="L7" s="8">
        <v>14890</v>
      </c>
      <c r="M7" s="8">
        <v>16049</v>
      </c>
      <c r="N7" s="20">
        <v>14809</v>
      </c>
      <c r="O7" s="20">
        <v>15860.6</v>
      </c>
      <c r="P7" s="125">
        <v>-6.6</v>
      </c>
      <c r="Q7" s="125">
        <v>-7.7</v>
      </c>
      <c r="R7" s="17" t="s">
        <v>181</v>
      </c>
    </row>
    <row r="8" spans="1:18" ht="25" customHeight="1" x14ac:dyDescent="0.35">
      <c r="A8" s="11" t="s">
        <v>340</v>
      </c>
      <c r="B8" s="89">
        <v>37354</v>
      </c>
      <c r="C8" s="8">
        <v>36993</v>
      </c>
      <c r="D8" s="8">
        <v>36408</v>
      </c>
      <c r="E8" s="8">
        <v>35719</v>
      </c>
      <c r="F8" s="8">
        <v>34599</v>
      </c>
      <c r="G8" s="8">
        <v>34389</v>
      </c>
      <c r="H8" s="8">
        <v>34422</v>
      </c>
      <c r="I8" s="8">
        <v>33567</v>
      </c>
      <c r="J8" s="8">
        <v>34216</v>
      </c>
      <c r="K8" s="8">
        <v>34175</v>
      </c>
      <c r="L8" s="8">
        <v>30325</v>
      </c>
      <c r="M8" s="8">
        <v>30014</v>
      </c>
      <c r="N8" s="20">
        <v>31242</v>
      </c>
      <c r="O8" s="20">
        <v>32459.4</v>
      </c>
      <c r="P8" s="125">
        <v>-3.8</v>
      </c>
      <c r="Q8" s="125">
        <v>4.0999999999999996</v>
      </c>
      <c r="R8" s="90" t="s">
        <v>341</v>
      </c>
    </row>
    <row r="9" spans="1:18" ht="25" customHeight="1" x14ac:dyDescent="0.35">
      <c r="A9" s="11" t="s">
        <v>342</v>
      </c>
      <c r="B9" s="89" t="s">
        <v>190</v>
      </c>
      <c r="C9" s="8" t="s">
        <v>190</v>
      </c>
      <c r="D9" s="8">
        <v>1265</v>
      </c>
      <c r="E9" s="8">
        <v>1447</v>
      </c>
      <c r="F9" s="8">
        <v>1361</v>
      </c>
      <c r="G9" s="8">
        <v>916</v>
      </c>
      <c r="H9" s="8">
        <v>1140</v>
      </c>
      <c r="I9" s="8">
        <v>1123</v>
      </c>
      <c r="J9" s="8">
        <v>1523</v>
      </c>
      <c r="K9" s="8">
        <v>1282</v>
      </c>
      <c r="L9" s="8">
        <v>1069</v>
      </c>
      <c r="M9" s="8">
        <v>1164</v>
      </c>
      <c r="N9" s="20">
        <v>1152</v>
      </c>
      <c r="O9" s="20">
        <v>1232.2</v>
      </c>
      <c r="P9" s="125">
        <v>-6.5</v>
      </c>
      <c r="Q9" s="125">
        <v>-1</v>
      </c>
      <c r="R9" s="17" t="s">
        <v>181</v>
      </c>
    </row>
    <row r="10" spans="1:18" ht="25" customHeight="1" x14ac:dyDescent="0.35">
      <c r="A10" s="11" t="s">
        <v>343</v>
      </c>
      <c r="B10" s="89">
        <v>3966</v>
      </c>
      <c r="C10" s="8">
        <v>4491</v>
      </c>
      <c r="D10" s="8">
        <v>4751</v>
      </c>
      <c r="E10" s="8">
        <v>4614</v>
      </c>
      <c r="F10" s="8">
        <v>4844</v>
      </c>
      <c r="G10" s="8">
        <v>5591</v>
      </c>
      <c r="H10" s="8">
        <v>6150</v>
      </c>
      <c r="I10" s="8">
        <v>6855</v>
      </c>
      <c r="J10" s="8">
        <v>7836</v>
      </c>
      <c r="K10" s="8">
        <v>7834</v>
      </c>
      <c r="L10" s="8">
        <v>7138</v>
      </c>
      <c r="M10" s="8">
        <v>7543</v>
      </c>
      <c r="N10" s="20">
        <v>7895</v>
      </c>
      <c r="O10" s="20">
        <v>7441.2</v>
      </c>
      <c r="P10" s="125">
        <v>6.1</v>
      </c>
      <c r="Q10" s="125">
        <v>4.7</v>
      </c>
      <c r="R10" s="17" t="s">
        <v>181</v>
      </c>
    </row>
    <row r="11" spans="1:18" ht="25" customHeight="1" x14ac:dyDescent="0.35">
      <c r="A11" s="11" t="s">
        <v>344</v>
      </c>
      <c r="B11" s="89">
        <v>1403</v>
      </c>
      <c r="C11" s="8">
        <v>1792</v>
      </c>
      <c r="D11" s="8">
        <v>1778</v>
      </c>
      <c r="E11" s="8">
        <v>1779</v>
      </c>
      <c r="F11" s="8">
        <v>1705</v>
      </c>
      <c r="G11" s="8">
        <v>1608</v>
      </c>
      <c r="H11" s="8">
        <v>1748</v>
      </c>
      <c r="I11" s="8">
        <v>1738</v>
      </c>
      <c r="J11" s="8">
        <v>2198</v>
      </c>
      <c r="K11" s="8">
        <v>1942</v>
      </c>
      <c r="L11" s="8">
        <v>1706</v>
      </c>
      <c r="M11" s="8">
        <v>1896</v>
      </c>
      <c r="N11" s="20">
        <v>2210</v>
      </c>
      <c r="O11" s="20">
        <v>1896</v>
      </c>
      <c r="P11" s="125">
        <v>16.600000000000001</v>
      </c>
      <c r="Q11" s="125">
        <v>16.600000000000001</v>
      </c>
      <c r="R11" s="17" t="s">
        <v>181</v>
      </c>
    </row>
    <row r="12" spans="1:18" ht="25" customHeight="1" x14ac:dyDescent="0.35">
      <c r="A12" s="119" t="s">
        <v>345</v>
      </c>
      <c r="B12" s="13" t="s">
        <v>190</v>
      </c>
      <c r="C12" s="14">
        <v>4421</v>
      </c>
      <c r="D12" s="14">
        <v>4901</v>
      </c>
      <c r="E12" s="14">
        <v>4855</v>
      </c>
      <c r="F12" s="14">
        <v>4272</v>
      </c>
      <c r="G12" s="14">
        <v>3208</v>
      </c>
      <c r="H12" s="14">
        <v>3874</v>
      </c>
      <c r="I12" s="14">
        <v>4116</v>
      </c>
      <c r="J12" s="14">
        <v>4485</v>
      </c>
      <c r="K12" s="14">
        <v>4472</v>
      </c>
      <c r="L12" s="14">
        <v>6505</v>
      </c>
      <c r="M12" s="14">
        <v>4957</v>
      </c>
      <c r="N12" s="22">
        <v>5003</v>
      </c>
      <c r="O12" s="22">
        <v>4907</v>
      </c>
      <c r="P12" s="132">
        <v>2</v>
      </c>
      <c r="Q12" s="132">
        <v>0.9</v>
      </c>
      <c r="R12" s="151" t="s">
        <v>181</v>
      </c>
    </row>
  </sheetData>
  <hyperlinks>
    <hyperlink ref="A5" r:id="rId1" xr:uid="{00000000-0004-0000-0900-000000000000}"/>
  </hyperlinks>
  <pageMargins left="0.7" right="0.7" top="0.75" bottom="0.75" header="0.3" footer="0.3"/>
  <pageSetup paperSize="9" orientation="portrait" horizontalDpi="300" verticalDpi="300"/>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37"/>
  <sheetViews>
    <sheetView showGridLines="0" zoomScaleNormal="100" workbookViewId="0"/>
  </sheetViews>
  <sheetFormatPr defaultColWidth="11.5625" defaultRowHeight="15" x14ac:dyDescent="0.35"/>
  <cols>
    <col min="1" max="1" width="50.75" customWidth="1"/>
    <col min="2" max="17" width="15.5625" customWidth="1"/>
    <col min="18" max="18" width="29.5625" style="6" customWidth="1"/>
  </cols>
  <sheetData>
    <row r="1" spans="1:18" ht="20.149999999999999" x14ac:dyDescent="0.5">
      <c r="A1" s="106" t="s">
        <v>346</v>
      </c>
    </row>
    <row r="2" spans="1:18" x14ac:dyDescent="0.35">
      <c r="A2" t="s">
        <v>34</v>
      </c>
    </row>
    <row r="3" spans="1:18" x14ac:dyDescent="0.35">
      <c r="A3" t="s">
        <v>160</v>
      </c>
    </row>
    <row r="4" spans="1:18" x14ac:dyDescent="0.35">
      <c r="A4" s="3" t="str">
        <f>HYPERLINK("#Notes!A1", "Link to Notes table")</f>
        <v>Link to Notes table</v>
      </c>
    </row>
    <row r="5" spans="1:18" x14ac:dyDescent="0.35">
      <c r="A5" s="3" t="s">
        <v>161</v>
      </c>
    </row>
    <row r="6" spans="1:18" ht="46.3" x14ac:dyDescent="0.4">
      <c r="A6" s="5" t="s">
        <v>347</v>
      </c>
      <c r="B6" s="10" t="s">
        <v>270</v>
      </c>
      <c r="C6" s="10" t="s">
        <v>271</v>
      </c>
      <c r="D6" s="10" t="s">
        <v>272</v>
      </c>
      <c r="E6" s="10" t="s">
        <v>273</v>
      </c>
      <c r="F6" s="10" t="s">
        <v>274</v>
      </c>
      <c r="G6" s="10" t="s">
        <v>275</v>
      </c>
      <c r="H6" s="10" t="s">
        <v>276</v>
      </c>
      <c r="I6" s="10" t="s">
        <v>277</v>
      </c>
      <c r="J6" s="10" t="s">
        <v>278</v>
      </c>
      <c r="K6" s="10" t="s">
        <v>279</v>
      </c>
      <c r="L6" s="10" t="s">
        <v>280</v>
      </c>
      <c r="M6" s="10" t="s">
        <v>281</v>
      </c>
      <c r="N6" s="19" t="s">
        <v>282</v>
      </c>
      <c r="O6" s="19" t="s">
        <v>283</v>
      </c>
      <c r="P6" s="19" t="s">
        <v>177</v>
      </c>
      <c r="Q6" s="19" t="s">
        <v>178</v>
      </c>
      <c r="R6" s="43" t="s">
        <v>179</v>
      </c>
    </row>
    <row r="7" spans="1:18" ht="25" customHeight="1" x14ac:dyDescent="0.35">
      <c r="A7" s="11" t="s">
        <v>348</v>
      </c>
      <c r="B7" s="91">
        <v>11272</v>
      </c>
      <c r="C7" s="92">
        <v>11382</v>
      </c>
      <c r="D7" s="92">
        <v>11203</v>
      </c>
      <c r="E7" s="92">
        <v>10699</v>
      </c>
      <c r="F7" s="92">
        <v>11108</v>
      </c>
      <c r="G7" s="92">
        <v>11193</v>
      </c>
      <c r="H7" s="92">
        <v>11270</v>
      </c>
      <c r="I7" s="92">
        <v>11385</v>
      </c>
      <c r="J7" s="92">
        <v>11722</v>
      </c>
      <c r="K7" s="92">
        <v>11684</v>
      </c>
      <c r="L7" s="92">
        <v>11391</v>
      </c>
      <c r="M7" s="92">
        <v>11111</v>
      </c>
      <c r="N7" s="93">
        <v>11478</v>
      </c>
      <c r="O7" s="93">
        <v>11458.6</v>
      </c>
      <c r="P7" s="152">
        <v>0.16930515071648899</v>
      </c>
      <c r="Q7" s="152">
        <v>3.3030330303303002</v>
      </c>
      <c r="R7" s="35" t="s">
        <v>181</v>
      </c>
    </row>
    <row r="8" spans="1:18" ht="25" customHeight="1" x14ac:dyDescent="0.35">
      <c r="A8" s="11" t="s">
        <v>349</v>
      </c>
      <c r="B8" s="89">
        <v>6002</v>
      </c>
      <c r="C8" s="8">
        <v>6027</v>
      </c>
      <c r="D8" s="8">
        <v>5932</v>
      </c>
      <c r="E8" s="8">
        <v>5745</v>
      </c>
      <c r="F8" s="8">
        <v>5923</v>
      </c>
      <c r="G8" s="8">
        <v>6030</v>
      </c>
      <c r="H8" s="8">
        <v>6021</v>
      </c>
      <c r="I8" s="8">
        <v>6041</v>
      </c>
      <c r="J8" s="8">
        <v>6354</v>
      </c>
      <c r="K8" s="8">
        <v>6339</v>
      </c>
      <c r="L8" s="8">
        <v>6035</v>
      </c>
      <c r="M8" s="8">
        <v>6006</v>
      </c>
      <c r="N8" s="20">
        <v>5832</v>
      </c>
      <c r="O8" s="20">
        <v>6155</v>
      </c>
      <c r="P8" s="23">
        <v>-5.2477660438667799</v>
      </c>
      <c r="Q8" s="23">
        <v>-2.8971028971028998</v>
      </c>
      <c r="R8" s="36" t="s">
        <v>181</v>
      </c>
    </row>
    <row r="9" spans="1:18" ht="25" customHeight="1" x14ac:dyDescent="0.35">
      <c r="A9" s="11" t="s">
        <v>350</v>
      </c>
      <c r="B9" s="89">
        <v>22354</v>
      </c>
      <c r="C9" s="8">
        <v>21576</v>
      </c>
      <c r="D9" s="8">
        <v>20834</v>
      </c>
      <c r="E9" s="8">
        <v>20270</v>
      </c>
      <c r="F9" s="8">
        <v>20704</v>
      </c>
      <c r="G9" s="8">
        <v>20198</v>
      </c>
      <c r="H9" s="8">
        <v>20540</v>
      </c>
      <c r="I9" s="8">
        <v>20462</v>
      </c>
      <c r="J9" s="8">
        <v>20232</v>
      </c>
      <c r="K9" s="8">
        <v>20234</v>
      </c>
      <c r="L9" s="8">
        <v>17908</v>
      </c>
      <c r="M9" s="8">
        <v>17790</v>
      </c>
      <c r="N9" s="20">
        <v>17902</v>
      </c>
      <c r="O9" s="20">
        <v>19325.2</v>
      </c>
      <c r="P9" s="23">
        <v>-7.3644774698321402</v>
      </c>
      <c r="Q9" s="23">
        <v>0.62956717256885897</v>
      </c>
      <c r="R9" s="36" t="s">
        <v>181</v>
      </c>
    </row>
    <row r="10" spans="1:18" ht="25" customHeight="1" x14ac:dyDescent="0.4">
      <c r="A10" s="12" t="s">
        <v>351</v>
      </c>
      <c r="B10" s="68">
        <v>39628</v>
      </c>
      <c r="C10" s="9">
        <v>38985</v>
      </c>
      <c r="D10" s="9">
        <v>37969</v>
      </c>
      <c r="E10" s="9">
        <v>36714</v>
      </c>
      <c r="F10" s="9">
        <v>37735</v>
      </c>
      <c r="G10" s="9">
        <v>37421</v>
      </c>
      <c r="H10" s="9">
        <v>37831</v>
      </c>
      <c r="I10" s="9">
        <v>37888</v>
      </c>
      <c r="J10" s="9">
        <v>38308</v>
      </c>
      <c r="K10" s="9">
        <v>38257</v>
      </c>
      <c r="L10" s="9">
        <v>35334</v>
      </c>
      <c r="M10" s="9">
        <v>34907</v>
      </c>
      <c r="N10" s="21">
        <v>35212</v>
      </c>
      <c r="O10" s="21">
        <v>36938.800000000003</v>
      </c>
      <c r="P10" s="138">
        <v>-4.6747593316512797</v>
      </c>
      <c r="Q10" s="138">
        <v>0.87375025066605505</v>
      </c>
      <c r="R10" s="37" t="s">
        <v>181</v>
      </c>
    </row>
    <row r="11" spans="1:18" ht="25" customHeight="1" x14ac:dyDescent="0.35">
      <c r="A11" s="11" t="s">
        <v>352</v>
      </c>
      <c r="B11" s="89">
        <v>4640</v>
      </c>
      <c r="C11" s="8">
        <v>6713</v>
      </c>
      <c r="D11" s="8">
        <v>7697</v>
      </c>
      <c r="E11" s="8">
        <v>8758</v>
      </c>
      <c r="F11" s="8">
        <v>10335</v>
      </c>
      <c r="G11" s="8">
        <v>11467</v>
      </c>
      <c r="H11" s="8">
        <v>12050</v>
      </c>
      <c r="I11" s="8">
        <v>11760</v>
      </c>
      <c r="J11" s="8">
        <v>13033</v>
      </c>
      <c r="K11" s="8">
        <v>13170</v>
      </c>
      <c r="L11" s="8">
        <v>13740</v>
      </c>
      <c r="M11" s="8">
        <v>14443</v>
      </c>
      <c r="N11" s="20">
        <v>14424</v>
      </c>
      <c r="O11" s="20">
        <v>13229.2</v>
      </c>
      <c r="P11" s="23">
        <v>9.0315362984912095</v>
      </c>
      <c r="Q11" s="23">
        <v>-0.13155161670013199</v>
      </c>
      <c r="R11" s="36" t="s">
        <v>181</v>
      </c>
    </row>
    <row r="12" spans="1:18" ht="25" customHeight="1" x14ac:dyDescent="0.35">
      <c r="A12" s="11" t="s">
        <v>353</v>
      </c>
      <c r="B12" s="89">
        <v>7517</v>
      </c>
      <c r="C12" s="8">
        <v>7305</v>
      </c>
      <c r="D12" s="8">
        <v>7171</v>
      </c>
      <c r="E12" s="8">
        <v>7144</v>
      </c>
      <c r="F12" s="8">
        <v>7138</v>
      </c>
      <c r="G12" s="8">
        <v>7090</v>
      </c>
      <c r="H12" s="8">
        <v>6925</v>
      </c>
      <c r="I12" s="8">
        <v>6700</v>
      </c>
      <c r="J12" s="8">
        <v>6532</v>
      </c>
      <c r="K12" s="8">
        <v>6511</v>
      </c>
      <c r="L12" s="8">
        <v>6788</v>
      </c>
      <c r="M12" s="8">
        <v>7151</v>
      </c>
      <c r="N12" s="20">
        <v>7315</v>
      </c>
      <c r="O12" s="20">
        <v>6736.4</v>
      </c>
      <c r="P12" s="23">
        <v>8.5891574134552595</v>
      </c>
      <c r="Q12" s="23">
        <v>2.2933855404838499</v>
      </c>
      <c r="R12" s="36" t="s">
        <v>181</v>
      </c>
    </row>
    <row r="13" spans="1:18" ht="25" customHeight="1" x14ac:dyDescent="0.35">
      <c r="A13" s="11" t="s">
        <v>354</v>
      </c>
      <c r="B13" s="89">
        <v>1985</v>
      </c>
      <c r="C13" s="8">
        <v>1880</v>
      </c>
      <c r="D13" s="8">
        <v>1896</v>
      </c>
      <c r="E13" s="8">
        <v>1852</v>
      </c>
      <c r="F13" s="8">
        <v>1700</v>
      </c>
      <c r="G13" s="8">
        <v>1662</v>
      </c>
      <c r="H13" s="8">
        <v>1644</v>
      </c>
      <c r="I13" s="8">
        <v>1630</v>
      </c>
      <c r="J13" s="8">
        <v>1802</v>
      </c>
      <c r="K13" s="8">
        <v>1805</v>
      </c>
      <c r="L13" s="8">
        <v>1727</v>
      </c>
      <c r="M13" s="8">
        <v>1682</v>
      </c>
      <c r="N13" s="20">
        <v>1560</v>
      </c>
      <c r="O13" s="20">
        <v>1729.2</v>
      </c>
      <c r="P13" s="23">
        <v>-9.7848716169326906</v>
      </c>
      <c r="Q13" s="23">
        <v>-7.2532699167657499</v>
      </c>
      <c r="R13" s="36" t="s">
        <v>181</v>
      </c>
    </row>
    <row r="14" spans="1:18" ht="25" customHeight="1" x14ac:dyDescent="0.35">
      <c r="A14" s="11" t="s">
        <v>355</v>
      </c>
      <c r="B14" s="89">
        <v>2344</v>
      </c>
      <c r="C14" s="8">
        <v>2357</v>
      </c>
      <c r="D14" s="8">
        <v>2462</v>
      </c>
      <c r="E14" s="8">
        <v>2328</v>
      </c>
      <c r="F14" s="8">
        <v>2730</v>
      </c>
      <c r="G14" s="8">
        <v>2621</v>
      </c>
      <c r="H14" s="8">
        <v>2591</v>
      </c>
      <c r="I14" s="8">
        <v>2655</v>
      </c>
      <c r="J14" s="8">
        <v>2848</v>
      </c>
      <c r="K14" s="8">
        <v>2850</v>
      </c>
      <c r="L14" s="8">
        <v>3281</v>
      </c>
      <c r="M14" s="8">
        <v>3564</v>
      </c>
      <c r="N14" s="20">
        <v>3310</v>
      </c>
      <c r="O14" s="20">
        <v>3039.6</v>
      </c>
      <c r="P14" s="23">
        <v>8.8959073562310902</v>
      </c>
      <c r="Q14" s="23">
        <v>-7.1268237934904599</v>
      </c>
      <c r="R14" s="36" t="s">
        <v>181</v>
      </c>
    </row>
    <row r="15" spans="1:18" ht="25" customHeight="1" x14ac:dyDescent="0.4">
      <c r="A15" s="12" t="s">
        <v>356</v>
      </c>
      <c r="B15" s="68">
        <v>11846</v>
      </c>
      <c r="C15" s="9">
        <v>11542</v>
      </c>
      <c r="D15" s="9">
        <v>11529</v>
      </c>
      <c r="E15" s="9">
        <v>11324</v>
      </c>
      <c r="F15" s="9">
        <v>11568</v>
      </c>
      <c r="G15" s="9">
        <v>11373</v>
      </c>
      <c r="H15" s="9">
        <v>11160</v>
      </c>
      <c r="I15" s="9">
        <v>10985</v>
      </c>
      <c r="J15" s="9">
        <v>11182</v>
      </c>
      <c r="K15" s="9">
        <v>11166</v>
      </c>
      <c r="L15" s="9">
        <v>11796</v>
      </c>
      <c r="M15" s="9">
        <v>12397</v>
      </c>
      <c r="N15" s="21">
        <v>12185</v>
      </c>
      <c r="O15" s="21">
        <v>11505.2</v>
      </c>
      <c r="P15" s="138">
        <v>5.9086326182943303</v>
      </c>
      <c r="Q15" s="138">
        <v>-1.7100911510849399</v>
      </c>
      <c r="R15" s="37" t="s">
        <v>181</v>
      </c>
    </row>
    <row r="16" spans="1:18" ht="25" customHeight="1" x14ac:dyDescent="0.35">
      <c r="A16" s="11" t="s">
        <v>357</v>
      </c>
      <c r="B16" s="89">
        <v>1030</v>
      </c>
      <c r="C16" s="8">
        <v>1025</v>
      </c>
      <c r="D16" s="8">
        <v>1017</v>
      </c>
      <c r="E16" s="8">
        <v>1005</v>
      </c>
      <c r="F16" s="8">
        <v>1035</v>
      </c>
      <c r="G16" s="8">
        <v>1060</v>
      </c>
      <c r="H16" s="8">
        <v>1106</v>
      </c>
      <c r="I16" s="8">
        <v>1062</v>
      </c>
      <c r="J16" s="8">
        <v>1068</v>
      </c>
      <c r="K16" s="8">
        <v>1069</v>
      </c>
      <c r="L16" s="8">
        <v>1342</v>
      </c>
      <c r="M16" s="8">
        <v>1448</v>
      </c>
      <c r="N16" s="20">
        <v>1645</v>
      </c>
      <c r="O16" s="20">
        <v>1197.8</v>
      </c>
      <c r="P16" s="23">
        <v>37.335114376356699</v>
      </c>
      <c r="Q16" s="23">
        <v>13.6049723756906</v>
      </c>
      <c r="R16" s="36" t="s">
        <v>181</v>
      </c>
    </row>
    <row r="17" spans="1:18" ht="25" customHeight="1" x14ac:dyDescent="0.35">
      <c r="A17" s="11" t="s">
        <v>358</v>
      </c>
      <c r="B17" s="89">
        <v>331</v>
      </c>
      <c r="C17" s="8">
        <v>342</v>
      </c>
      <c r="D17" s="8">
        <v>360</v>
      </c>
      <c r="E17" s="8">
        <v>356</v>
      </c>
      <c r="F17" s="8">
        <v>358</v>
      </c>
      <c r="G17" s="8">
        <v>360</v>
      </c>
      <c r="H17" s="8">
        <v>399</v>
      </c>
      <c r="I17" s="8">
        <v>409</v>
      </c>
      <c r="J17" s="8">
        <v>458</v>
      </c>
      <c r="K17" s="8">
        <v>469</v>
      </c>
      <c r="L17" s="8">
        <v>688</v>
      </c>
      <c r="M17" s="8">
        <v>655</v>
      </c>
      <c r="N17" s="20">
        <v>621</v>
      </c>
      <c r="O17" s="20">
        <v>535.79999999999995</v>
      </c>
      <c r="P17" s="23">
        <v>15.9014557670773</v>
      </c>
      <c r="Q17" s="23">
        <v>-5.1908396946564901</v>
      </c>
      <c r="R17" s="36" t="s">
        <v>181</v>
      </c>
    </row>
    <row r="18" spans="1:18" ht="25" customHeight="1" x14ac:dyDescent="0.35">
      <c r="A18" s="11" t="s">
        <v>359</v>
      </c>
      <c r="B18" s="89">
        <v>332</v>
      </c>
      <c r="C18" s="8">
        <v>324</v>
      </c>
      <c r="D18" s="8">
        <v>392</v>
      </c>
      <c r="E18" s="8">
        <v>408</v>
      </c>
      <c r="F18" s="8">
        <v>455</v>
      </c>
      <c r="G18" s="8">
        <v>446</v>
      </c>
      <c r="H18" s="8">
        <v>445</v>
      </c>
      <c r="I18" s="8">
        <v>463</v>
      </c>
      <c r="J18" s="8">
        <v>678</v>
      </c>
      <c r="K18" s="8">
        <v>683</v>
      </c>
      <c r="L18" s="8">
        <v>1223</v>
      </c>
      <c r="M18" s="8">
        <v>1392</v>
      </c>
      <c r="N18" s="20">
        <v>1342</v>
      </c>
      <c r="O18" s="20">
        <v>887.8</v>
      </c>
      <c r="P18" s="23">
        <v>51.160171209731899</v>
      </c>
      <c r="Q18" s="23">
        <v>-3.5919540229885101</v>
      </c>
      <c r="R18" s="36" t="s">
        <v>181</v>
      </c>
    </row>
    <row r="19" spans="1:18" ht="25" customHeight="1" x14ac:dyDescent="0.4">
      <c r="A19" s="12" t="s">
        <v>360</v>
      </c>
      <c r="B19" s="68">
        <v>1693</v>
      </c>
      <c r="C19" s="9">
        <v>1691</v>
      </c>
      <c r="D19" s="9">
        <v>1769</v>
      </c>
      <c r="E19" s="9">
        <v>1769</v>
      </c>
      <c r="F19" s="9">
        <v>1848</v>
      </c>
      <c r="G19" s="9">
        <v>1866</v>
      </c>
      <c r="H19" s="9">
        <v>1950</v>
      </c>
      <c r="I19" s="9">
        <v>1934</v>
      </c>
      <c r="J19" s="9">
        <v>2204</v>
      </c>
      <c r="K19" s="9">
        <v>2221</v>
      </c>
      <c r="L19" s="9">
        <v>3253</v>
      </c>
      <c r="M19" s="9">
        <v>3495</v>
      </c>
      <c r="N19" s="21">
        <v>3608</v>
      </c>
      <c r="O19" s="21">
        <v>2621.4</v>
      </c>
      <c r="P19" s="138">
        <v>37.636377508201697</v>
      </c>
      <c r="Q19" s="138">
        <v>3.2331902718168801</v>
      </c>
      <c r="R19" s="37" t="s">
        <v>181</v>
      </c>
    </row>
    <row r="20" spans="1:18" ht="25" customHeight="1" x14ac:dyDescent="0.4">
      <c r="A20" s="12" t="s">
        <v>361</v>
      </c>
      <c r="B20" s="68">
        <v>13539</v>
      </c>
      <c r="C20" s="9">
        <v>13233</v>
      </c>
      <c r="D20" s="9">
        <v>13298</v>
      </c>
      <c r="E20" s="9">
        <v>13093</v>
      </c>
      <c r="F20" s="9">
        <v>13416</v>
      </c>
      <c r="G20" s="9">
        <v>13239</v>
      </c>
      <c r="H20" s="9">
        <v>13110</v>
      </c>
      <c r="I20" s="9">
        <v>12919</v>
      </c>
      <c r="J20" s="9">
        <v>13386</v>
      </c>
      <c r="K20" s="9">
        <v>13387</v>
      </c>
      <c r="L20" s="9">
        <v>15049</v>
      </c>
      <c r="M20" s="9">
        <v>15892</v>
      </c>
      <c r="N20" s="21">
        <v>15793</v>
      </c>
      <c r="O20" s="21">
        <v>14126.6</v>
      </c>
      <c r="P20" s="138">
        <v>11.7961859187632</v>
      </c>
      <c r="Q20" s="138">
        <v>-0.622954945884722</v>
      </c>
      <c r="R20" s="37" t="s">
        <v>181</v>
      </c>
    </row>
    <row r="21" spans="1:18" ht="25" customHeight="1" x14ac:dyDescent="0.35">
      <c r="A21" s="11" t="s">
        <v>362</v>
      </c>
      <c r="B21" s="89">
        <v>2212</v>
      </c>
      <c r="C21" s="8">
        <v>2318</v>
      </c>
      <c r="D21" s="8">
        <v>2215</v>
      </c>
      <c r="E21" s="8">
        <v>2118</v>
      </c>
      <c r="F21" s="8">
        <v>2210</v>
      </c>
      <c r="G21" s="8">
        <v>2242</v>
      </c>
      <c r="H21" s="8">
        <v>2113</v>
      </c>
      <c r="I21" s="8">
        <v>2179</v>
      </c>
      <c r="J21" s="8">
        <v>2085</v>
      </c>
      <c r="K21" s="8">
        <v>2081</v>
      </c>
      <c r="L21" s="8">
        <v>1986</v>
      </c>
      <c r="M21" s="8">
        <v>2068</v>
      </c>
      <c r="N21" s="20">
        <v>2019</v>
      </c>
      <c r="O21" s="20">
        <v>2079.8000000000002</v>
      </c>
      <c r="P21" s="23">
        <v>-2.9233580151937799</v>
      </c>
      <c r="Q21" s="23">
        <v>-2.3694390715667302</v>
      </c>
      <c r="R21" s="36" t="s">
        <v>181</v>
      </c>
    </row>
    <row r="22" spans="1:18" ht="25" customHeight="1" x14ac:dyDescent="0.35">
      <c r="A22" s="11" t="s">
        <v>363</v>
      </c>
      <c r="B22" s="89">
        <v>1820</v>
      </c>
      <c r="C22" s="8">
        <v>1816</v>
      </c>
      <c r="D22" s="8">
        <v>1694</v>
      </c>
      <c r="E22" s="8">
        <v>1829</v>
      </c>
      <c r="F22" s="8">
        <v>1868</v>
      </c>
      <c r="G22" s="8">
        <v>1851</v>
      </c>
      <c r="H22" s="8">
        <v>1897</v>
      </c>
      <c r="I22" s="8">
        <v>1880</v>
      </c>
      <c r="J22" s="8">
        <v>1896</v>
      </c>
      <c r="K22" s="8">
        <v>1890</v>
      </c>
      <c r="L22" s="8">
        <v>1705</v>
      </c>
      <c r="M22" s="8">
        <v>1678</v>
      </c>
      <c r="N22" s="20">
        <v>1443</v>
      </c>
      <c r="O22" s="20">
        <v>1809.8</v>
      </c>
      <c r="P22" s="23">
        <v>-20.267432865509999</v>
      </c>
      <c r="Q22" s="23">
        <v>-14.004767580452899</v>
      </c>
      <c r="R22" s="36" t="s">
        <v>181</v>
      </c>
    </row>
    <row r="23" spans="1:18" ht="25" customHeight="1" x14ac:dyDescent="0.35">
      <c r="A23" s="11" t="s">
        <v>364</v>
      </c>
      <c r="B23" s="89">
        <v>748</v>
      </c>
      <c r="C23" s="8">
        <v>693</v>
      </c>
      <c r="D23" s="8">
        <v>771</v>
      </c>
      <c r="E23" s="8">
        <v>795</v>
      </c>
      <c r="F23" s="8">
        <v>832</v>
      </c>
      <c r="G23" s="8">
        <v>812</v>
      </c>
      <c r="H23" s="8">
        <v>784</v>
      </c>
      <c r="I23" s="8">
        <v>830</v>
      </c>
      <c r="J23" s="8">
        <v>890</v>
      </c>
      <c r="K23" s="8">
        <v>889</v>
      </c>
      <c r="L23" s="8">
        <v>985</v>
      </c>
      <c r="M23" s="8">
        <v>1047</v>
      </c>
      <c r="N23" s="20">
        <v>979</v>
      </c>
      <c r="O23" s="20">
        <v>928.2</v>
      </c>
      <c r="P23" s="23">
        <v>5.4729584141348804</v>
      </c>
      <c r="Q23" s="23">
        <v>-6.4947468958930301</v>
      </c>
      <c r="R23" s="36" t="s">
        <v>181</v>
      </c>
    </row>
    <row r="24" spans="1:18" ht="25" customHeight="1" x14ac:dyDescent="0.4">
      <c r="A24" s="12" t="s">
        <v>365</v>
      </c>
      <c r="B24" s="68">
        <v>4780</v>
      </c>
      <c r="C24" s="9">
        <v>4827</v>
      </c>
      <c r="D24" s="9">
        <v>4680</v>
      </c>
      <c r="E24" s="9">
        <v>4742</v>
      </c>
      <c r="F24" s="9">
        <v>4910</v>
      </c>
      <c r="G24" s="9">
        <v>4905</v>
      </c>
      <c r="H24" s="9">
        <v>4794</v>
      </c>
      <c r="I24" s="9">
        <v>4889</v>
      </c>
      <c r="J24" s="9">
        <v>4871</v>
      </c>
      <c r="K24" s="9">
        <v>4860</v>
      </c>
      <c r="L24" s="9">
        <v>4676</v>
      </c>
      <c r="M24" s="9">
        <v>4792</v>
      </c>
      <c r="N24" s="21">
        <v>4441</v>
      </c>
      <c r="O24" s="21">
        <v>4817.6000000000004</v>
      </c>
      <c r="P24" s="138">
        <v>-7.8171703752906101</v>
      </c>
      <c r="Q24" s="138">
        <v>-7.3247078464106803</v>
      </c>
      <c r="R24" s="37" t="s">
        <v>181</v>
      </c>
    </row>
    <row r="25" spans="1:18" ht="25" customHeight="1" x14ac:dyDescent="0.35">
      <c r="A25" s="11" t="s">
        <v>366</v>
      </c>
      <c r="B25" s="89">
        <v>1364</v>
      </c>
      <c r="C25" s="8">
        <v>1274</v>
      </c>
      <c r="D25" s="8">
        <v>1186</v>
      </c>
      <c r="E25" s="8">
        <v>1162</v>
      </c>
      <c r="F25" s="8">
        <v>1179</v>
      </c>
      <c r="G25" s="8">
        <v>1173</v>
      </c>
      <c r="H25" s="8">
        <v>1160</v>
      </c>
      <c r="I25" s="8">
        <v>1102</v>
      </c>
      <c r="J25" s="8">
        <v>1101</v>
      </c>
      <c r="K25" s="8">
        <v>1109</v>
      </c>
      <c r="L25" s="8">
        <v>1164</v>
      </c>
      <c r="M25" s="8">
        <v>1222</v>
      </c>
      <c r="N25" s="20">
        <v>1211</v>
      </c>
      <c r="O25" s="20">
        <v>1139.5999999999999</v>
      </c>
      <c r="P25" s="23">
        <v>6.26535626535627</v>
      </c>
      <c r="Q25" s="23">
        <v>-0.90016366612111298</v>
      </c>
      <c r="R25" s="36" t="s">
        <v>181</v>
      </c>
    </row>
    <row r="26" spans="1:18" ht="25" customHeight="1" x14ac:dyDescent="0.35">
      <c r="A26" s="11" t="s">
        <v>367</v>
      </c>
      <c r="B26" s="89">
        <v>955</v>
      </c>
      <c r="C26" s="8">
        <v>941</v>
      </c>
      <c r="D26" s="8">
        <v>985</v>
      </c>
      <c r="E26" s="8">
        <v>980</v>
      </c>
      <c r="F26" s="8">
        <v>1049</v>
      </c>
      <c r="G26" s="8">
        <v>1080</v>
      </c>
      <c r="H26" s="8">
        <v>1122</v>
      </c>
      <c r="I26" s="8">
        <v>1138</v>
      </c>
      <c r="J26" s="8">
        <v>1182</v>
      </c>
      <c r="K26" s="8">
        <v>1188</v>
      </c>
      <c r="L26" s="8">
        <v>1340</v>
      </c>
      <c r="M26" s="8">
        <v>1310</v>
      </c>
      <c r="N26" s="20">
        <v>1113</v>
      </c>
      <c r="O26" s="20">
        <v>1231.5999999999999</v>
      </c>
      <c r="P26" s="23">
        <v>-9.6297499188047997</v>
      </c>
      <c r="Q26" s="23">
        <v>-15.0381679389313</v>
      </c>
      <c r="R26" s="36" t="s">
        <v>181</v>
      </c>
    </row>
    <row r="27" spans="1:18" ht="25" customHeight="1" x14ac:dyDescent="0.35">
      <c r="A27" s="11" t="s">
        <v>368</v>
      </c>
      <c r="B27" s="89">
        <v>360</v>
      </c>
      <c r="C27" s="8">
        <v>373</v>
      </c>
      <c r="D27" s="8">
        <v>402</v>
      </c>
      <c r="E27" s="8">
        <v>432</v>
      </c>
      <c r="F27" s="8">
        <v>462</v>
      </c>
      <c r="G27" s="8">
        <v>476</v>
      </c>
      <c r="H27" s="8">
        <v>469</v>
      </c>
      <c r="I27" s="8">
        <v>500</v>
      </c>
      <c r="J27" s="8">
        <v>558</v>
      </c>
      <c r="K27" s="8">
        <v>555</v>
      </c>
      <c r="L27" s="8">
        <v>883</v>
      </c>
      <c r="M27" s="8">
        <v>938</v>
      </c>
      <c r="N27" s="20">
        <v>861</v>
      </c>
      <c r="O27" s="20">
        <v>686.8</v>
      </c>
      <c r="P27" s="23">
        <v>25.3640069889342</v>
      </c>
      <c r="Q27" s="23">
        <v>-8.2089552238806007</v>
      </c>
      <c r="R27" s="36" t="s">
        <v>181</v>
      </c>
    </row>
    <row r="28" spans="1:18" ht="25" customHeight="1" x14ac:dyDescent="0.4">
      <c r="A28" s="12" t="s">
        <v>369</v>
      </c>
      <c r="B28" s="68">
        <v>2679</v>
      </c>
      <c r="C28" s="9">
        <v>2588</v>
      </c>
      <c r="D28" s="9">
        <v>2573</v>
      </c>
      <c r="E28" s="9">
        <v>2574</v>
      </c>
      <c r="F28" s="9">
        <v>2690</v>
      </c>
      <c r="G28" s="9">
        <v>2729</v>
      </c>
      <c r="H28" s="9">
        <v>2751</v>
      </c>
      <c r="I28" s="9">
        <v>2740</v>
      </c>
      <c r="J28" s="9">
        <v>2841</v>
      </c>
      <c r="K28" s="9">
        <v>2852</v>
      </c>
      <c r="L28" s="9">
        <v>3387</v>
      </c>
      <c r="M28" s="9">
        <v>3470</v>
      </c>
      <c r="N28" s="21">
        <v>3185</v>
      </c>
      <c r="O28" s="21">
        <v>3058</v>
      </c>
      <c r="P28" s="138">
        <v>4.1530412034009201</v>
      </c>
      <c r="Q28" s="138">
        <v>-8.2132564841498592</v>
      </c>
      <c r="R28" s="37" t="s">
        <v>181</v>
      </c>
    </row>
    <row r="29" spans="1:18" ht="25" customHeight="1" x14ac:dyDescent="0.4">
      <c r="A29" s="12" t="s">
        <v>370</v>
      </c>
      <c r="B29" s="68">
        <v>7459</v>
      </c>
      <c r="C29" s="9">
        <v>7415</v>
      </c>
      <c r="D29" s="9">
        <v>7253</v>
      </c>
      <c r="E29" s="9">
        <v>7316</v>
      </c>
      <c r="F29" s="9">
        <v>7600</v>
      </c>
      <c r="G29" s="9">
        <v>7634</v>
      </c>
      <c r="H29" s="9">
        <v>7545</v>
      </c>
      <c r="I29" s="9">
        <v>7629</v>
      </c>
      <c r="J29" s="9">
        <v>7712</v>
      </c>
      <c r="K29" s="9">
        <v>7712</v>
      </c>
      <c r="L29" s="9">
        <v>8063</v>
      </c>
      <c r="M29" s="9">
        <v>8262</v>
      </c>
      <c r="N29" s="21">
        <v>7626</v>
      </c>
      <c r="O29" s="21">
        <v>7875.6</v>
      </c>
      <c r="P29" s="138">
        <v>-3.1692823403931198</v>
      </c>
      <c r="Q29" s="138">
        <v>-7.6978939724037803</v>
      </c>
      <c r="R29" s="37" t="s">
        <v>181</v>
      </c>
    </row>
    <row r="30" spans="1:18" ht="25" customHeight="1" x14ac:dyDescent="0.4">
      <c r="A30" s="12" t="s">
        <v>371</v>
      </c>
      <c r="B30" s="68">
        <v>20998</v>
      </c>
      <c r="C30" s="9">
        <v>20648</v>
      </c>
      <c r="D30" s="9">
        <v>20551</v>
      </c>
      <c r="E30" s="9">
        <v>20409</v>
      </c>
      <c r="F30" s="9">
        <v>21016</v>
      </c>
      <c r="G30" s="9">
        <v>20873</v>
      </c>
      <c r="H30" s="9">
        <v>20655</v>
      </c>
      <c r="I30" s="9">
        <v>20548</v>
      </c>
      <c r="J30" s="9">
        <v>21098</v>
      </c>
      <c r="K30" s="9">
        <v>21099</v>
      </c>
      <c r="L30" s="9">
        <v>23112</v>
      </c>
      <c r="M30" s="9">
        <v>24154</v>
      </c>
      <c r="N30" s="21">
        <v>23419</v>
      </c>
      <c r="O30" s="21">
        <v>22002.2</v>
      </c>
      <c r="P30" s="138">
        <v>6.4393560643935599</v>
      </c>
      <c r="Q30" s="138">
        <v>-3.04297424857167</v>
      </c>
      <c r="R30" s="37" t="s">
        <v>181</v>
      </c>
    </row>
    <row r="31" spans="1:18" ht="25" customHeight="1" x14ac:dyDescent="0.35">
      <c r="A31" s="11" t="s">
        <v>372</v>
      </c>
      <c r="B31" s="89">
        <v>4539</v>
      </c>
      <c r="C31" s="8">
        <v>4410</v>
      </c>
      <c r="D31" s="8">
        <v>4667</v>
      </c>
      <c r="E31" s="8">
        <v>4389</v>
      </c>
      <c r="F31" s="8">
        <v>5734</v>
      </c>
      <c r="G31" s="8">
        <v>5628</v>
      </c>
      <c r="H31" s="8">
        <v>5829</v>
      </c>
      <c r="I31" s="8">
        <v>5559</v>
      </c>
      <c r="J31" s="8">
        <v>5411</v>
      </c>
      <c r="K31" s="8">
        <v>5403</v>
      </c>
      <c r="L31" s="8">
        <v>5668</v>
      </c>
      <c r="M31" s="8">
        <v>5714</v>
      </c>
      <c r="N31" s="20">
        <v>5687</v>
      </c>
      <c r="O31" s="20">
        <v>5551</v>
      </c>
      <c r="P31" s="23">
        <v>2.4500090073860599</v>
      </c>
      <c r="Q31" s="23">
        <v>-0.472523626181309</v>
      </c>
      <c r="R31" s="36" t="s">
        <v>181</v>
      </c>
    </row>
    <row r="32" spans="1:18" ht="25" customHeight="1" x14ac:dyDescent="0.35">
      <c r="A32" s="11" t="s">
        <v>373</v>
      </c>
      <c r="B32" s="89">
        <v>2213</v>
      </c>
      <c r="C32" s="8">
        <v>2256</v>
      </c>
      <c r="D32" s="8">
        <v>2171</v>
      </c>
      <c r="E32" s="8">
        <v>1961</v>
      </c>
      <c r="F32" s="8">
        <v>2515</v>
      </c>
      <c r="G32" s="8">
        <v>2587</v>
      </c>
      <c r="H32" s="8">
        <v>2751</v>
      </c>
      <c r="I32" s="8">
        <v>2679</v>
      </c>
      <c r="J32" s="8">
        <v>2592</v>
      </c>
      <c r="K32" s="8">
        <v>2590</v>
      </c>
      <c r="L32" s="8">
        <v>2639</v>
      </c>
      <c r="M32" s="8">
        <v>2615</v>
      </c>
      <c r="N32" s="20">
        <v>2455</v>
      </c>
      <c r="O32" s="20">
        <v>2623</v>
      </c>
      <c r="P32" s="23">
        <v>-6.4048799085017096</v>
      </c>
      <c r="Q32" s="23">
        <v>-6.1185468451242802</v>
      </c>
      <c r="R32" s="36" t="s">
        <v>181</v>
      </c>
    </row>
    <row r="33" spans="1:18" ht="25" customHeight="1" x14ac:dyDescent="0.4">
      <c r="A33" s="12" t="s">
        <v>374</v>
      </c>
      <c r="B33" s="68">
        <v>6752</v>
      </c>
      <c r="C33" s="9">
        <v>6666</v>
      </c>
      <c r="D33" s="9">
        <v>6838</v>
      </c>
      <c r="E33" s="9">
        <v>6350</v>
      </c>
      <c r="F33" s="9">
        <v>8249</v>
      </c>
      <c r="G33" s="9">
        <v>8215</v>
      </c>
      <c r="H33" s="9">
        <v>8580</v>
      </c>
      <c r="I33" s="9">
        <v>8238</v>
      </c>
      <c r="J33" s="9">
        <v>8003</v>
      </c>
      <c r="K33" s="9">
        <v>7993</v>
      </c>
      <c r="L33" s="9">
        <v>8307</v>
      </c>
      <c r="M33" s="9">
        <v>8329</v>
      </c>
      <c r="N33" s="21">
        <v>8142</v>
      </c>
      <c r="O33" s="21">
        <v>8174</v>
      </c>
      <c r="P33" s="138">
        <v>-0.39148519696598999</v>
      </c>
      <c r="Q33" s="138">
        <v>-2.2451674870932901</v>
      </c>
      <c r="R33" s="37" t="s">
        <v>181</v>
      </c>
    </row>
    <row r="34" spans="1:18" ht="25" customHeight="1" x14ac:dyDescent="0.4">
      <c r="A34" s="12" t="s">
        <v>375</v>
      </c>
      <c r="B34" s="68">
        <v>67378</v>
      </c>
      <c r="C34" s="9">
        <v>66299</v>
      </c>
      <c r="D34" s="9">
        <v>65358</v>
      </c>
      <c r="E34" s="9">
        <v>63473</v>
      </c>
      <c r="F34" s="9">
        <v>67000</v>
      </c>
      <c r="G34" s="9">
        <v>66509</v>
      </c>
      <c r="H34" s="9">
        <v>67066</v>
      </c>
      <c r="I34" s="9">
        <v>66674</v>
      </c>
      <c r="J34" s="9">
        <v>67409</v>
      </c>
      <c r="K34" s="9">
        <v>67349</v>
      </c>
      <c r="L34" s="9">
        <v>66753</v>
      </c>
      <c r="M34" s="9">
        <v>67391</v>
      </c>
      <c r="N34" s="21">
        <v>66773</v>
      </c>
      <c r="O34" s="21">
        <v>67115.199999999997</v>
      </c>
      <c r="P34" s="138">
        <v>-0.50986959734903103</v>
      </c>
      <c r="Q34" s="138">
        <v>-0.917036399519224</v>
      </c>
      <c r="R34" s="37" t="s">
        <v>181</v>
      </c>
    </row>
    <row r="35" spans="1:18" ht="25" customHeight="1" x14ac:dyDescent="0.4">
      <c r="A35" s="12" t="s">
        <v>376</v>
      </c>
      <c r="B35" s="68" t="s">
        <v>190</v>
      </c>
      <c r="C35" s="9" t="s">
        <v>190</v>
      </c>
      <c r="D35" s="9" t="s">
        <v>190</v>
      </c>
      <c r="E35" s="9" t="s">
        <v>190</v>
      </c>
      <c r="F35" s="9" t="s">
        <v>190</v>
      </c>
      <c r="G35" s="9" t="s">
        <v>190</v>
      </c>
      <c r="H35" s="9" t="s">
        <v>190</v>
      </c>
      <c r="I35" s="9" t="s">
        <v>190</v>
      </c>
      <c r="J35" s="9" t="s">
        <v>190</v>
      </c>
      <c r="K35" s="9" t="s">
        <v>190</v>
      </c>
      <c r="L35" s="9">
        <v>91904</v>
      </c>
      <c r="M35" s="9">
        <v>105477</v>
      </c>
      <c r="N35" s="21">
        <v>110115</v>
      </c>
      <c r="O35" s="21" t="s">
        <v>190</v>
      </c>
      <c r="P35" s="138" t="s">
        <v>190</v>
      </c>
      <c r="Q35" s="138">
        <v>4.3971671549247704</v>
      </c>
      <c r="R35" s="37" t="s">
        <v>181</v>
      </c>
    </row>
    <row r="36" spans="1:18" ht="24.75" customHeight="1" x14ac:dyDescent="0.4">
      <c r="A36" s="12" t="s">
        <v>377</v>
      </c>
      <c r="B36" s="68" t="s">
        <v>190</v>
      </c>
      <c r="C36" s="9" t="s">
        <v>190</v>
      </c>
      <c r="D36" s="9" t="s">
        <v>190</v>
      </c>
      <c r="E36" s="9" t="s">
        <v>190</v>
      </c>
      <c r="F36" s="9" t="s">
        <v>190</v>
      </c>
      <c r="G36" s="9" t="s">
        <v>190</v>
      </c>
      <c r="H36" s="9" t="s">
        <v>190</v>
      </c>
      <c r="I36" s="9" t="s">
        <v>190</v>
      </c>
      <c r="J36" s="9" t="s">
        <v>190</v>
      </c>
      <c r="K36" s="9" t="s">
        <v>190</v>
      </c>
      <c r="L36" s="9">
        <v>213656</v>
      </c>
      <c r="M36" s="9">
        <v>220464</v>
      </c>
      <c r="N36" s="21">
        <v>258095</v>
      </c>
      <c r="O36" s="21" t="s">
        <v>190</v>
      </c>
      <c r="P36" s="138" t="s">
        <v>190</v>
      </c>
      <c r="Q36" s="138">
        <v>17.0689999274258</v>
      </c>
      <c r="R36" s="90" t="s">
        <v>378</v>
      </c>
    </row>
    <row r="37" spans="1:18" ht="25" customHeight="1" x14ac:dyDescent="0.4">
      <c r="A37" s="25" t="s">
        <v>379</v>
      </c>
      <c r="B37" s="28">
        <v>492607</v>
      </c>
      <c r="C37" s="29">
        <v>350566</v>
      </c>
      <c r="D37" s="29">
        <v>459801</v>
      </c>
      <c r="E37" s="29">
        <v>429741</v>
      </c>
      <c r="F37" s="29">
        <v>659138</v>
      </c>
      <c r="G37" s="29">
        <v>710381</v>
      </c>
      <c r="H37" s="29">
        <v>534327</v>
      </c>
      <c r="I37" s="29" t="s">
        <v>190</v>
      </c>
      <c r="J37" s="29">
        <v>394229</v>
      </c>
      <c r="K37" s="29">
        <v>394229</v>
      </c>
      <c r="L37" s="29">
        <v>305560</v>
      </c>
      <c r="M37" s="29">
        <v>325941</v>
      </c>
      <c r="N37" s="30">
        <v>368210</v>
      </c>
      <c r="O37" s="30" t="s">
        <v>190</v>
      </c>
      <c r="P37" s="32" t="s">
        <v>190</v>
      </c>
      <c r="Q37" s="32">
        <v>12.9682979434928</v>
      </c>
      <c r="R37" s="38" t="s">
        <v>181</v>
      </c>
    </row>
  </sheetData>
  <hyperlinks>
    <hyperlink ref="A5" r:id="rId1" xr:uid="{00000000-0004-0000-0A00-000000000000}"/>
  </hyperlinks>
  <pageMargins left="0.7" right="0.7" top="0.75" bottom="0.75" header="0.3" footer="0.3"/>
  <pageSetup paperSize="9" orientation="portrait" horizontalDpi="300" verticalDpi="300"/>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
  <sheetViews>
    <sheetView showGridLines="0" workbookViewId="0"/>
  </sheetViews>
  <sheetFormatPr defaultColWidth="11.5625" defaultRowHeight="15" x14ac:dyDescent="0.35"/>
  <cols>
    <col min="1" max="1" width="42.3125" customWidth="1"/>
    <col min="2" max="5" width="15.5625" customWidth="1"/>
  </cols>
  <sheetData>
    <row r="1" spans="1:5" ht="20.149999999999999" x14ac:dyDescent="0.5">
      <c r="A1" s="106" t="s">
        <v>380</v>
      </c>
    </row>
    <row r="2" spans="1:5" x14ac:dyDescent="0.35">
      <c r="A2" t="s">
        <v>34</v>
      </c>
    </row>
    <row r="3" spans="1:5" x14ac:dyDescent="0.35">
      <c r="A3" t="s">
        <v>160</v>
      </c>
    </row>
    <row r="4" spans="1:5" x14ac:dyDescent="0.35">
      <c r="A4" s="3" t="str">
        <f>HYPERLINK("#Notes!A1", "Link to Notes table")</f>
        <v>Link to Notes table</v>
      </c>
    </row>
    <row r="5" spans="1:5" ht="15.45" thickBot="1" x14ac:dyDescent="0.4">
      <c r="A5" s="3" t="s">
        <v>161</v>
      </c>
    </row>
    <row r="6" spans="1:5" ht="31.3" thickBot="1" x14ac:dyDescent="0.45">
      <c r="A6" s="5" t="s">
        <v>381</v>
      </c>
      <c r="B6" s="10" t="s">
        <v>382</v>
      </c>
      <c r="C6" s="10" t="s">
        <v>383</v>
      </c>
      <c r="D6" s="19" t="s">
        <v>384</v>
      </c>
      <c r="E6" s="7" t="s">
        <v>385</v>
      </c>
    </row>
    <row r="7" spans="1:5" ht="25" customHeight="1" x14ac:dyDescent="0.35">
      <c r="A7" s="11" t="s">
        <v>386</v>
      </c>
      <c r="B7" s="8">
        <v>2043</v>
      </c>
      <c r="C7" s="8">
        <v>8069</v>
      </c>
      <c r="D7" s="20">
        <v>46</v>
      </c>
      <c r="E7" s="153">
        <v>10158</v>
      </c>
    </row>
    <row r="8" spans="1:5" ht="25" customHeight="1" x14ac:dyDescent="0.35">
      <c r="A8" s="11" t="s">
        <v>387</v>
      </c>
      <c r="B8" s="8">
        <v>1994</v>
      </c>
      <c r="C8" s="8">
        <v>3150</v>
      </c>
      <c r="D8" s="20">
        <v>21</v>
      </c>
      <c r="E8" s="153">
        <v>5165</v>
      </c>
    </row>
    <row r="9" spans="1:5" ht="25" customHeight="1" x14ac:dyDescent="0.35">
      <c r="A9" s="11" t="s">
        <v>388</v>
      </c>
      <c r="B9" s="8">
        <v>6975</v>
      </c>
      <c r="C9" s="8">
        <v>9081</v>
      </c>
      <c r="D9" s="20">
        <v>66</v>
      </c>
      <c r="E9" s="153">
        <v>16122</v>
      </c>
    </row>
    <row r="10" spans="1:5" ht="25" customHeight="1" thickBot="1" x14ac:dyDescent="0.45">
      <c r="A10" s="25" t="s">
        <v>389</v>
      </c>
      <c r="B10" s="28">
        <v>11012</v>
      </c>
      <c r="C10" s="29">
        <v>20300</v>
      </c>
      <c r="D10" s="30">
        <v>133</v>
      </c>
      <c r="E10" s="154">
        <v>31445</v>
      </c>
    </row>
  </sheetData>
  <hyperlinks>
    <hyperlink ref="A5" r:id="rId1" xr:uid="{00000000-0004-0000-0B00-000000000000}"/>
  </hyperlinks>
  <pageMargins left="0.7" right="0.7" top="0.75" bottom="0.75" header="0.3" footer="0.3"/>
  <pageSetup paperSize="9" orientation="portrait" horizontalDpi="300" verticalDpi="300"/>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1"/>
  <sheetViews>
    <sheetView showGridLines="0" zoomScaleNormal="100" workbookViewId="0"/>
  </sheetViews>
  <sheetFormatPr defaultColWidth="11.5625" defaultRowHeight="15" x14ac:dyDescent="0.35"/>
  <cols>
    <col min="1" max="1" width="38.125" customWidth="1"/>
    <col min="2" max="15" width="15.5625" customWidth="1"/>
  </cols>
  <sheetData>
    <row r="1" spans="1:15" ht="20.149999999999999" x14ac:dyDescent="0.5">
      <c r="A1" s="106" t="s">
        <v>390</v>
      </c>
    </row>
    <row r="2" spans="1:15" x14ac:dyDescent="0.35">
      <c r="A2" t="s">
        <v>34</v>
      </c>
    </row>
    <row r="3" spans="1:15" x14ac:dyDescent="0.35">
      <c r="A3" t="s">
        <v>160</v>
      </c>
    </row>
    <row r="4" spans="1:15" x14ac:dyDescent="0.35">
      <c r="A4" s="3" t="str">
        <f>HYPERLINK("#Notes!A1", "Link to Notes table")</f>
        <v>Link to Notes table</v>
      </c>
    </row>
    <row r="5" spans="1:15" x14ac:dyDescent="0.35">
      <c r="A5" s="3" t="s">
        <v>161</v>
      </c>
    </row>
    <row r="6" spans="1:15" ht="30.9" x14ac:dyDescent="0.4">
      <c r="A6" s="73" t="s">
        <v>381</v>
      </c>
      <c r="B6" s="74" t="s">
        <v>391</v>
      </c>
      <c r="C6" s="74" t="s">
        <v>392</v>
      </c>
      <c r="D6" s="74" t="s">
        <v>393</v>
      </c>
      <c r="E6" s="74" t="s">
        <v>394</v>
      </c>
      <c r="F6" s="74" t="s">
        <v>395</v>
      </c>
      <c r="G6" s="74" t="s">
        <v>396</v>
      </c>
      <c r="H6" s="74" t="s">
        <v>397</v>
      </c>
      <c r="I6" s="74" t="s">
        <v>398</v>
      </c>
      <c r="J6" s="74" t="s">
        <v>399</v>
      </c>
      <c r="K6" s="74" t="s">
        <v>400</v>
      </c>
      <c r="L6" s="74" t="s">
        <v>401</v>
      </c>
      <c r="M6" s="75" t="s">
        <v>402</v>
      </c>
      <c r="N6" s="75" t="s">
        <v>403</v>
      </c>
      <c r="O6" s="80" t="s">
        <v>404</v>
      </c>
    </row>
    <row r="7" spans="1:15" ht="25" customHeight="1" x14ac:dyDescent="0.35">
      <c r="A7" s="76" t="s">
        <v>405</v>
      </c>
      <c r="B7" s="8" t="s">
        <v>406</v>
      </c>
      <c r="C7" s="8">
        <v>26</v>
      </c>
      <c r="D7" s="8" t="s">
        <v>406</v>
      </c>
      <c r="E7" s="8">
        <v>246</v>
      </c>
      <c r="F7" s="8">
        <v>102</v>
      </c>
      <c r="G7" s="8">
        <v>555</v>
      </c>
      <c r="H7" s="8">
        <v>239</v>
      </c>
      <c r="I7" s="8">
        <v>856</v>
      </c>
      <c r="J7" s="8">
        <v>439</v>
      </c>
      <c r="K7" s="8">
        <v>1594</v>
      </c>
      <c r="L7" s="8">
        <v>430</v>
      </c>
      <c r="M7" s="20">
        <v>1802</v>
      </c>
      <c r="N7" s="20">
        <v>1267</v>
      </c>
      <c r="O7" s="83">
        <v>5079</v>
      </c>
    </row>
    <row r="8" spans="1:15" ht="25" customHeight="1" x14ac:dyDescent="0.35">
      <c r="A8" s="76" t="s">
        <v>407</v>
      </c>
      <c r="B8" s="8" t="s">
        <v>406</v>
      </c>
      <c r="C8" s="8">
        <v>13</v>
      </c>
      <c r="D8" s="8" t="s">
        <v>406</v>
      </c>
      <c r="E8" s="8">
        <v>82</v>
      </c>
      <c r="F8" s="8">
        <v>128</v>
      </c>
      <c r="G8" s="8">
        <v>204</v>
      </c>
      <c r="H8" s="8">
        <v>221</v>
      </c>
      <c r="I8" s="8">
        <v>299</v>
      </c>
      <c r="J8" s="8">
        <v>312</v>
      </c>
      <c r="K8" s="8">
        <v>434</v>
      </c>
      <c r="L8" s="8">
        <v>404</v>
      </c>
      <c r="M8" s="20">
        <v>604</v>
      </c>
      <c r="N8" s="20">
        <v>1111</v>
      </c>
      <c r="O8" s="83">
        <v>1636</v>
      </c>
    </row>
    <row r="9" spans="1:15" ht="25" customHeight="1" x14ac:dyDescent="0.35">
      <c r="A9" s="76" t="s">
        <v>408</v>
      </c>
      <c r="B9" s="8">
        <v>19</v>
      </c>
      <c r="C9" s="8">
        <v>33</v>
      </c>
      <c r="D9" s="8">
        <v>129</v>
      </c>
      <c r="E9" s="8">
        <v>177</v>
      </c>
      <c r="F9" s="8">
        <v>369</v>
      </c>
      <c r="G9" s="8">
        <v>470</v>
      </c>
      <c r="H9" s="8">
        <v>666</v>
      </c>
      <c r="I9" s="8">
        <v>742</v>
      </c>
      <c r="J9" s="8">
        <v>1090</v>
      </c>
      <c r="K9" s="8">
        <v>1177</v>
      </c>
      <c r="L9" s="8">
        <v>1323</v>
      </c>
      <c r="M9" s="20">
        <v>1498</v>
      </c>
      <c r="N9" s="20">
        <v>3596</v>
      </c>
      <c r="O9" s="83">
        <v>4097</v>
      </c>
    </row>
    <row r="10" spans="1:15" ht="25" customHeight="1" x14ac:dyDescent="0.4">
      <c r="A10" s="77" t="s">
        <v>389</v>
      </c>
      <c r="B10" s="84">
        <v>26</v>
      </c>
      <c r="C10" s="78">
        <v>72</v>
      </c>
      <c r="D10" s="78">
        <v>225</v>
      </c>
      <c r="E10" s="78">
        <v>505</v>
      </c>
      <c r="F10" s="78">
        <v>599</v>
      </c>
      <c r="G10" s="78">
        <v>1229</v>
      </c>
      <c r="H10" s="78">
        <v>1126</v>
      </c>
      <c r="I10" s="78">
        <v>1897</v>
      </c>
      <c r="J10" s="78">
        <v>1841</v>
      </c>
      <c r="K10" s="78">
        <v>3205</v>
      </c>
      <c r="L10" s="78">
        <v>2157</v>
      </c>
      <c r="M10" s="79">
        <v>3904</v>
      </c>
      <c r="N10" s="79">
        <v>5974</v>
      </c>
      <c r="O10" s="85">
        <v>10812</v>
      </c>
    </row>
    <row r="11" spans="1:15" x14ac:dyDescent="0.35">
      <c r="B11" s="67"/>
      <c r="C11" s="67"/>
      <c r="D11" s="67"/>
      <c r="E11" s="67"/>
      <c r="F11" s="67"/>
      <c r="G11" s="67"/>
      <c r="H11" s="67"/>
      <c r="I11" s="67"/>
      <c r="J11" s="67"/>
      <c r="K11" s="67"/>
      <c r="L11" s="67"/>
      <c r="M11" s="67"/>
      <c r="N11" s="67"/>
      <c r="O11" s="67"/>
    </row>
  </sheetData>
  <hyperlinks>
    <hyperlink ref="A5" r:id="rId1" xr:uid="{00000000-0004-0000-0C00-000000000000}"/>
  </hyperlinks>
  <pageMargins left="0.7" right="0.7" top="0.75" bottom="0.75" header="0.3" footer="0.3"/>
  <pageSetup paperSize="9" orientation="portrait" horizontalDpi="300" verticalDpi="300"/>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2"/>
  <sheetViews>
    <sheetView showGridLines="0" workbookViewId="0"/>
  </sheetViews>
  <sheetFormatPr defaultColWidth="11.5625" defaultRowHeight="15" x14ac:dyDescent="0.35"/>
  <cols>
    <col min="1" max="1" width="50.6875" customWidth="1"/>
    <col min="2" max="3" width="15.5625" customWidth="1"/>
  </cols>
  <sheetData>
    <row r="1" spans="1:3" ht="20.149999999999999" x14ac:dyDescent="0.5">
      <c r="A1" s="1" t="s">
        <v>409</v>
      </c>
    </row>
    <row r="2" spans="1:3" x14ac:dyDescent="0.35">
      <c r="A2" t="s">
        <v>34</v>
      </c>
    </row>
    <row r="3" spans="1:3" x14ac:dyDescent="0.35">
      <c r="A3" t="s">
        <v>160</v>
      </c>
    </row>
    <row r="4" spans="1:3" x14ac:dyDescent="0.35">
      <c r="A4" s="3" t="str">
        <f>HYPERLINK("#Notes!A1", "Link to Notes table")</f>
        <v>Link to Notes table</v>
      </c>
    </row>
    <row r="5" spans="1:3" ht="15.45" thickBot="1" x14ac:dyDescent="0.4">
      <c r="A5" s="3" t="s">
        <v>161</v>
      </c>
    </row>
    <row r="6" spans="1:3" ht="31.3" thickBot="1" x14ac:dyDescent="0.45">
      <c r="A6" s="5" t="s">
        <v>410</v>
      </c>
      <c r="B6" s="10" t="s">
        <v>411</v>
      </c>
      <c r="C6" s="7" t="s">
        <v>412</v>
      </c>
    </row>
    <row r="7" spans="1:3" ht="25" customHeight="1" x14ac:dyDescent="0.35">
      <c r="A7" s="11" t="s">
        <v>413</v>
      </c>
      <c r="B7" s="8">
        <v>24887</v>
      </c>
      <c r="C7" s="153">
        <v>1550379.5695410101</v>
      </c>
    </row>
    <row r="8" spans="1:3" ht="25" customHeight="1" x14ac:dyDescent="0.35">
      <c r="A8" s="11" t="s">
        <v>414</v>
      </c>
      <c r="B8" s="8">
        <v>11570</v>
      </c>
      <c r="C8" s="153">
        <v>1033069.67509803</v>
      </c>
    </row>
    <row r="9" spans="1:3" ht="25" customHeight="1" x14ac:dyDescent="0.35">
      <c r="A9" s="11" t="s">
        <v>415</v>
      </c>
      <c r="B9" s="8">
        <v>10836</v>
      </c>
      <c r="C9" s="153">
        <v>1527730.6355830799</v>
      </c>
    </row>
    <row r="10" spans="1:3" ht="25" customHeight="1" x14ac:dyDescent="0.35">
      <c r="A10" s="11" t="s">
        <v>416</v>
      </c>
      <c r="B10" s="8">
        <v>227</v>
      </c>
      <c r="C10" s="153">
        <v>90197.517624804503</v>
      </c>
    </row>
    <row r="11" spans="1:3" ht="25" customHeight="1" x14ac:dyDescent="0.35">
      <c r="A11" s="11" t="s">
        <v>417</v>
      </c>
      <c r="B11" s="8">
        <v>810</v>
      </c>
      <c r="C11" s="153">
        <v>822924.908180236</v>
      </c>
    </row>
    <row r="12" spans="1:3" ht="25" customHeight="1" thickBot="1" x14ac:dyDescent="0.45">
      <c r="A12" s="25" t="s">
        <v>418</v>
      </c>
      <c r="B12" s="29">
        <v>48330</v>
      </c>
      <c r="C12" s="154">
        <v>5024302.30602716</v>
      </c>
    </row>
  </sheetData>
  <hyperlinks>
    <hyperlink ref="A5" r:id="rId1" xr:uid="{00000000-0004-0000-0D00-000000000000}"/>
  </hyperlinks>
  <pageMargins left="0.7" right="0.7" top="0.75" bottom="0.75" header="0.3" footer="0.3"/>
  <pageSetup paperSize="9" orientation="portrait" horizontalDpi="300" verticalDpi="300"/>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0"/>
  <sheetViews>
    <sheetView showGridLines="0" workbookViewId="0"/>
  </sheetViews>
  <sheetFormatPr defaultColWidth="11.5625" defaultRowHeight="15" x14ac:dyDescent="0.35"/>
  <cols>
    <col min="1" max="1" width="50.6875" customWidth="1"/>
    <col min="2" max="17" width="15.5625" customWidth="1"/>
  </cols>
  <sheetData>
    <row r="1" spans="1:17" ht="20.149999999999999" x14ac:dyDescent="0.5">
      <c r="A1" s="106" t="s">
        <v>419</v>
      </c>
    </row>
    <row r="2" spans="1:17" x14ac:dyDescent="0.35">
      <c r="A2" t="s">
        <v>34</v>
      </c>
    </row>
    <row r="3" spans="1:17" x14ac:dyDescent="0.35">
      <c r="A3" t="s">
        <v>160</v>
      </c>
    </row>
    <row r="4" spans="1:17" x14ac:dyDescent="0.35">
      <c r="A4" s="3" t="str">
        <f>HYPERLINK("#Notes!A1", "Link to Notes table")</f>
        <v>Link to Notes table</v>
      </c>
    </row>
    <row r="5" spans="1:17" ht="15.45" thickBot="1" x14ac:dyDescent="0.4">
      <c r="A5" s="3" t="s">
        <v>161</v>
      </c>
    </row>
    <row r="6" spans="1:17" ht="46.75" thickBot="1" x14ac:dyDescent="0.45">
      <c r="A6" s="5" t="s">
        <v>420</v>
      </c>
      <c r="B6" s="10" t="s">
        <v>421</v>
      </c>
      <c r="C6" s="10" t="s">
        <v>422</v>
      </c>
      <c r="D6" s="10" t="s">
        <v>423</v>
      </c>
      <c r="E6" s="10" t="s">
        <v>424</v>
      </c>
      <c r="F6" s="10" t="s">
        <v>425</v>
      </c>
      <c r="G6" s="10" t="s">
        <v>426</v>
      </c>
      <c r="H6" s="10" t="s">
        <v>427</v>
      </c>
      <c r="I6" s="10" t="s">
        <v>428</v>
      </c>
      <c r="J6" s="10" t="s">
        <v>429</v>
      </c>
      <c r="K6" s="10" t="s">
        <v>430</v>
      </c>
      <c r="L6" s="10" t="s">
        <v>431</v>
      </c>
      <c r="M6" s="10" t="s">
        <v>432</v>
      </c>
      <c r="N6" s="19" t="s">
        <v>433</v>
      </c>
      <c r="O6" s="19" t="s">
        <v>434</v>
      </c>
      <c r="P6" s="19" t="s">
        <v>177</v>
      </c>
      <c r="Q6" s="7" t="s">
        <v>178</v>
      </c>
    </row>
    <row r="7" spans="1:17" ht="25" customHeight="1" x14ac:dyDescent="0.35">
      <c r="A7" s="11" t="s">
        <v>435</v>
      </c>
      <c r="B7" s="8">
        <v>1365932</v>
      </c>
      <c r="C7" s="8">
        <v>1326139</v>
      </c>
      <c r="D7" s="8">
        <v>1319724</v>
      </c>
      <c r="E7" s="8">
        <v>1319545</v>
      </c>
      <c r="F7" s="8">
        <v>1335046</v>
      </c>
      <c r="G7" s="8">
        <v>1282029</v>
      </c>
      <c r="H7" s="8">
        <v>1283912</v>
      </c>
      <c r="I7" s="8">
        <v>1285804</v>
      </c>
      <c r="J7" s="8">
        <v>1266447</v>
      </c>
      <c r="K7" s="8">
        <v>1242925</v>
      </c>
      <c r="L7" s="8">
        <v>1183593.99</v>
      </c>
      <c r="M7" s="8">
        <v>1289233.97</v>
      </c>
      <c r="N7" s="20">
        <v>1203059.23</v>
      </c>
      <c r="O7" s="20">
        <v>1253600.7919999999</v>
      </c>
      <c r="P7" s="23">
        <v>-4.0317110776043501</v>
      </c>
      <c r="Q7" s="45">
        <v>-6.68418161522691</v>
      </c>
    </row>
    <row r="8" spans="1:17" ht="25" customHeight="1" x14ac:dyDescent="0.35">
      <c r="A8" s="11" t="s">
        <v>436</v>
      </c>
      <c r="B8" s="8">
        <v>4304459</v>
      </c>
      <c r="C8" s="8">
        <v>4437900</v>
      </c>
      <c r="D8" s="8">
        <v>4443906</v>
      </c>
      <c r="E8" s="8">
        <v>4429108</v>
      </c>
      <c r="F8" s="8">
        <v>4423354</v>
      </c>
      <c r="G8" s="8">
        <v>4512212</v>
      </c>
      <c r="H8" s="8">
        <v>4492740</v>
      </c>
      <c r="I8" s="8">
        <v>4457461</v>
      </c>
      <c r="J8" s="8">
        <v>4447582</v>
      </c>
      <c r="K8" s="8">
        <v>4423019</v>
      </c>
      <c r="L8" s="8">
        <v>4438557.3499999996</v>
      </c>
      <c r="M8" s="8">
        <v>4560477.8</v>
      </c>
      <c r="N8" s="20">
        <v>4437793.8099999996</v>
      </c>
      <c r="O8" s="20">
        <v>4465419.43</v>
      </c>
      <c r="P8" s="23">
        <v>-0.61865677867577396</v>
      </c>
      <c r="Q8" s="31">
        <v>-2.6901565007070101</v>
      </c>
    </row>
    <row r="9" spans="1:17" ht="25" customHeight="1" x14ac:dyDescent="0.35">
      <c r="A9" s="11" t="s">
        <v>437</v>
      </c>
      <c r="B9" s="8">
        <v>5670391</v>
      </c>
      <c r="C9" s="8">
        <v>5764039</v>
      </c>
      <c r="D9" s="8">
        <v>5763630</v>
      </c>
      <c r="E9" s="8">
        <v>5748653</v>
      </c>
      <c r="F9" s="8">
        <v>5758399</v>
      </c>
      <c r="G9" s="8">
        <v>5794241</v>
      </c>
      <c r="H9" s="8">
        <v>5776652</v>
      </c>
      <c r="I9" s="8">
        <v>5743265</v>
      </c>
      <c r="J9" s="8">
        <v>5714030</v>
      </c>
      <c r="K9" s="8">
        <v>5665944</v>
      </c>
      <c r="L9" s="8">
        <v>5622151.3399999999</v>
      </c>
      <c r="M9" s="8">
        <v>5849711.7699999996</v>
      </c>
      <c r="N9" s="20">
        <v>5640853.04</v>
      </c>
      <c r="O9" s="20">
        <v>5719020.4220000003</v>
      </c>
      <c r="P9" s="23">
        <v>-1.36679669300193</v>
      </c>
      <c r="Q9" s="31">
        <v>-3.5704106152908901</v>
      </c>
    </row>
    <row r="10" spans="1:17" ht="25" customHeight="1" thickBot="1" x14ac:dyDescent="0.45">
      <c r="A10" s="25" t="s">
        <v>438</v>
      </c>
      <c r="B10" s="44">
        <v>24.088850310322499</v>
      </c>
      <c r="C10" s="44">
        <v>23.007113588232102</v>
      </c>
      <c r="D10" s="44">
        <v>22.897444839450099</v>
      </c>
      <c r="E10" s="44">
        <v>22.953985916352899</v>
      </c>
      <c r="F10" s="44">
        <v>23.1843260600733</v>
      </c>
      <c r="G10" s="44">
        <v>22.125917786298501</v>
      </c>
      <c r="H10" s="44">
        <v>22.225884474259502</v>
      </c>
      <c r="I10" s="44">
        <v>22.388031894749801</v>
      </c>
      <c r="J10" s="44">
        <v>22.163814330691299</v>
      </c>
      <c r="K10" s="44">
        <v>21.936768171376201</v>
      </c>
      <c r="L10" s="44">
        <v>21.052332433299501</v>
      </c>
      <c r="M10" s="44">
        <v>22.039273398251598</v>
      </c>
      <c r="N10" s="32">
        <v>21.327611647900699</v>
      </c>
      <c r="O10" s="32" t="s">
        <v>190</v>
      </c>
      <c r="P10" s="32" t="s">
        <v>190</v>
      </c>
      <c r="Q10" s="33" t="s">
        <v>190</v>
      </c>
    </row>
  </sheetData>
  <hyperlinks>
    <hyperlink ref="A5" r:id="rId1" xr:uid="{00000000-0004-0000-0E00-000000000000}"/>
  </hyperlinks>
  <pageMargins left="0.7" right="0.7" top="0.75" bottom="0.75" header="0.3" footer="0.3"/>
  <pageSetup paperSize="9" orientation="portrait" horizontalDpi="300" verticalDpi="300"/>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8"/>
  <sheetViews>
    <sheetView showGridLines="0" workbookViewId="0"/>
  </sheetViews>
  <sheetFormatPr defaultColWidth="11.5625" defaultRowHeight="15" x14ac:dyDescent="0.35"/>
  <cols>
    <col min="1" max="1" width="50.6875" customWidth="1"/>
    <col min="2" max="4" width="15.5625" customWidth="1"/>
    <col min="5" max="5" width="15.75" customWidth="1"/>
    <col min="6" max="6" width="26.3125" style="6" bestFit="1" customWidth="1"/>
  </cols>
  <sheetData>
    <row r="1" spans="1:6" ht="20.149999999999999" x14ac:dyDescent="0.5">
      <c r="A1" s="1" t="s">
        <v>439</v>
      </c>
    </row>
    <row r="2" spans="1:6" x14ac:dyDescent="0.35">
      <c r="A2" t="s">
        <v>34</v>
      </c>
    </row>
    <row r="3" spans="1:6" x14ac:dyDescent="0.35">
      <c r="A3" t="s">
        <v>160</v>
      </c>
    </row>
    <row r="4" spans="1:6" x14ac:dyDescent="0.35">
      <c r="A4" s="3" t="str">
        <f>HYPERLINK("#Notes!A1", "Link to Notes table")</f>
        <v>Link to Notes table</v>
      </c>
    </row>
    <row r="5" spans="1:6" ht="15.45" thickBot="1" x14ac:dyDescent="0.4">
      <c r="A5" s="3" t="s">
        <v>161</v>
      </c>
    </row>
    <row r="6" spans="1:6" ht="46.75" thickBot="1" x14ac:dyDescent="0.45">
      <c r="A6" s="5" t="s">
        <v>440</v>
      </c>
      <c r="B6" s="10" t="s">
        <v>411</v>
      </c>
      <c r="C6" s="10" t="s">
        <v>441</v>
      </c>
      <c r="D6" s="10" t="s">
        <v>442</v>
      </c>
      <c r="E6" s="19" t="s">
        <v>443</v>
      </c>
      <c r="F6" s="7" t="s">
        <v>179</v>
      </c>
    </row>
    <row r="7" spans="1:6" ht="25" customHeight="1" x14ac:dyDescent="0.35">
      <c r="A7" s="11" t="s">
        <v>444</v>
      </c>
      <c r="B7" s="91">
        <v>1875</v>
      </c>
      <c r="C7" s="92">
        <v>279214.87439584098</v>
      </c>
      <c r="D7" s="92">
        <v>382572934.56506699</v>
      </c>
      <c r="E7" s="93">
        <v>204038.89843470199</v>
      </c>
      <c r="F7" s="35" t="s">
        <v>181</v>
      </c>
    </row>
    <row r="8" spans="1:6" ht="25" customHeight="1" x14ac:dyDescent="0.35">
      <c r="A8" s="11" t="s">
        <v>445</v>
      </c>
      <c r="B8" s="89">
        <v>17029</v>
      </c>
      <c r="C8" s="8">
        <v>1012213.53160667</v>
      </c>
      <c r="D8" s="8">
        <v>72876199.733020604</v>
      </c>
      <c r="E8" s="20">
        <v>4279.5348953561897</v>
      </c>
      <c r="F8" s="90" t="s">
        <v>446</v>
      </c>
    </row>
    <row r="9" spans="1:6" ht="25" customHeight="1" x14ac:dyDescent="0.35">
      <c r="A9" s="11" t="s">
        <v>447</v>
      </c>
      <c r="B9" s="89">
        <v>16487</v>
      </c>
      <c r="C9" s="8">
        <v>2939510.8195366701</v>
      </c>
      <c r="D9" s="8">
        <v>679369187.20096397</v>
      </c>
      <c r="E9" s="20">
        <v>41206.355747010602</v>
      </c>
      <c r="F9" s="90" t="s">
        <v>448</v>
      </c>
    </row>
    <row r="10" spans="1:6" ht="25" customHeight="1" x14ac:dyDescent="0.35">
      <c r="A10" s="11" t="s">
        <v>449</v>
      </c>
      <c r="B10" s="89">
        <v>4050</v>
      </c>
      <c r="C10" s="8">
        <v>277842.18157971499</v>
      </c>
      <c r="D10" s="8">
        <v>315881793.28685802</v>
      </c>
      <c r="E10" s="20">
        <v>77995.5045152737</v>
      </c>
      <c r="F10" s="36" t="s">
        <v>181</v>
      </c>
    </row>
    <row r="11" spans="1:6" ht="25" customHeight="1" x14ac:dyDescent="0.35">
      <c r="A11" s="11" t="s">
        <v>450</v>
      </c>
      <c r="B11" s="89">
        <v>3419</v>
      </c>
      <c r="C11" s="8">
        <v>113646.464874422</v>
      </c>
      <c r="D11" s="8">
        <v>133290479.207459</v>
      </c>
      <c r="E11" s="20">
        <v>38985.223517829603</v>
      </c>
      <c r="F11" s="36" t="s">
        <v>181</v>
      </c>
    </row>
    <row r="12" spans="1:6" ht="25" customHeight="1" x14ac:dyDescent="0.35">
      <c r="A12" s="11" t="s">
        <v>451</v>
      </c>
      <c r="B12" s="89">
        <v>2405</v>
      </c>
      <c r="C12" s="8">
        <v>256452.16977499999</v>
      </c>
      <c r="D12" s="8">
        <v>215446872.241743</v>
      </c>
      <c r="E12" s="20">
        <v>89582.899061015807</v>
      </c>
      <c r="F12" s="36" t="s">
        <v>181</v>
      </c>
    </row>
    <row r="13" spans="1:6" ht="25" customHeight="1" x14ac:dyDescent="0.35">
      <c r="A13" s="11" t="s">
        <v>452</v>
      </c>
      <c r="B13" s="89">
        <v>580</v>
      </c>
      <c r="C13" s="8">
        <v>107075.872225</v>
      </c>
      <c r="D13" s="8">
        <v>335294471.994376</v>
      </c>
      <c r="E13" s="20">
        <v>578093.91723168199</v>
      </c>
      <c r="F13" s="36" t="s">
        <v>181</v>
      </c>
    </row>
    <row r="14" spans="1:6" ht="25" customHeight="1" x14ac:dyDescent="0.35">
      <c r="A14" s="11" t="s">
        <v>453</v>
      </c>
      <c r="B14" s="89">
        <v>650</v>
      </c>
      <c r="C14" s="8">
        <v>15769.3014065444</v>
      </c>
      <c r="D14" s="8">
        <v>251010191.42339301</v>
      </c>
      <c r="E14" s="20">
        <v>386169.52526675799</v>
      </c>
      <c r="F14" s="36"/>
    </row>
    <row r="15" spans="1:6" ht="25" customHeight="1" x14ac:dyDescent="0.35">
      <c r="A15" s="11" t="s">
        <v>454</v>
      </c>
      <c r="B15" s="89">
        <v>332</v>
      </c>
      <c r="C15" s="8">
        <v>6541.1123540621802</v>
      </c>
      <c r="D15" s="8">
        <v>35198723.7042787</v>
      </c>
      <c r="E15" s="20">
        <v>106020.252121321</v>
      </c>
      <c r="F15" s="36" t="s">
        <v>181</v>
      </c>
    </row>
    <row r="16" spans="1:6" ht="25" customHeight="1" x14ac:dyDescent="0.35">
      <c r="A16" s="11" t="s">
        <v>455</v>
      </c>
      <c r="B16" s="89">
        <v>712</v>
      </c>
      <c r="C16" s="8">
        <v>10035.855348244901</v>
      </c>
      <c r="D16" s="8">
        <v>179170670.07279599</v>
      </c>
      <c r="E16" s="20">
        <v>251644.19954044401</v>
      </c>
      <c r="F16" s="36" t="s">
        <v>181</v>
      </c>
    </row>
    <row r="17" spans="1:6" ht="25" customHeight="1" x14ac:dyDescent="0.35">
      <c r="A17" s="11" t="s">
        <v>456</v>
      </c>
      <c r="B17" s="89">
        <v>791</v>
      </c>
      <c r="C17" s="8">
        <v>6000.1229249999997</v>
      </c>
      <c r="D17" s="8" t="s">
        <v>190</v>
      </c>
      <c r="E17" s="20" t="s">
        <v>190</v>
      </c>
      <c r="F17" s="36" t="s">
        <v>181</v>
      </c>
    </row>
    <row r="18" spans="1:6" ht="25" customHeight="1" thickBot="1" x14ac:dyDescent="0.45">
      <c r="A18" s="25" t="s">
        <v>457</v>
      </c>
      <c r="B18" s="28">
        <v>48330</v>
      </c>
      <c r="C18" s="29">
        <v>5024302.3060271703</v>
      </c>
      <c r="D18" s="29">
        <v>2600111523.4299598</v>
      </c>
      <c r="E18" s="30">
        <v>53799.1211138</v>
      </c>
      <c r="F18" s="38" t="s">
        <v>181</v>
      </c>
    </row>
  </sheetData>
  <hyperlinks>
    <hyperlink ref="A5" r:id="rId1" xr:uid="{00000000-0004-0000-0F00-000000000000}"/>
  </hyperlinks>
  <pageMargins left="0.7" right="0.7" top="0.75" bottom="0.75" header="0.3" footer="0.3"/>
  <pageSetup paperSize="9" orientation="portrait" horizontalDpi="300" verticalDpi="300"/>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41"/>
  <sheetViews>
    <sheetView showGridLines="0" workbookViewId="0"/>
  </sheetViews>
  <sheetFormatPr defaultColWidth="11.5625" defaultRowHeight="15" x14ac:dyDescent="0.35"/>
  <cols>
    <col min="1" max="1" width="50.6875" customWidth="1"/>
    <col min="2" max="4" width="15.5625" customWidth="1"/>
    <col min="5" max="5" width="29.75" style="6" customWidth="1"/>
  </cols>
  <sheetData>
    <row r="1" spans="1:5" ht="20.149999999999999" x14ac:dyDescent="0.5">
      <c r="A1" s="1" t="s">
        <v>458</v>
      </c>
    </row>
    <row r="2" spans="1:5" x14ac:dyDescent="0.35">
      <c r="A2" t="s">
        <v>34</v>
      </c>
    </row>
    <row r="3" spans="1:5" x14ac:dyDescent="0.35">
      <c r="A3" t="s">
        <v>160</v>
      </c>
    </row>
    <row r="4" spans="1:5" x14ac:dyDescent="0.35">
      <c r="A4" s="3" t="str">
        <f>HYPERLINK("#Notes!A1", "Link to Notes table")</f>
        <v>Link to Notes table</v>
      </c>
    </row>
    <row r="5" spans="1:5" x14ac:dyDescent="0.35">
      <c r="A5" s="3" t="s">
        <v>161</v>
      </c>
    </row>
    <row r="6" spans="1:5" ht="30.9" x14ac:dyDescent="0.4">
      <c r="A6" s="5" t="s">
        <v>459</v>
      </c>
      <c r="B6" s="10" t="s">
        <v>460</v>
      </c>
      <c r="C6" s="10" t="s">
        <v>461</v>
      </c>
      <c r="D6" s="19" t="s">
        <v>462</v>
      </c>
      <c r="E6" s="7" t="s">
        <v>179</v>
      </c>
    </row>
    <row r="7" spans="1:5" ht="25" customHeight="1" x14ac:dyDescent="0.35">
      <c r="A7" s="11" t="s">
        <v>180</v>
      </c>
      <c r="B7" s="91">
        <v>10517.341925000001</v>
      </c>
      <c r="C7" s="92">
        <v>97738.713350000005</v>
      </c>
      <c r="D7" s="93">
        <v>108256.05527500001</v>
      </c>
      <c r="E7" s="94" t="s">
        <v>181</v>
      </c>
    </row>
    <row r="8" spans="1:5" ht="25" customHeight="1" x14ac:dyDescent="0.35">
      <c r="A8" s="11" t="s">
        <v>182</v>
      </c>
      <c r="B8" s="89">
        <v>68.868025000000003</v>
      </c>
      <c r="C8" s="8">
        <v>281.523775</v>
      </c>
      <c r="D8" s="20">
        <v>350.39179999999999</v>
      </c>
      <c r="E8" s="17" t="s">
        <v>181</v>
      </c>
    </row>
    <row r="9" spans="1:5" ht="25" customHeight="1" x14ac:dyDescent="0.35">
      <c r="A9" s="11" t="s">
        <v>183</v>
      </c>
      <c r="B9" s="89">
        <v>8554.4338296779206</v>
      </c>
      <c r="C9" s="8">
        <v>34876.459711132702</v>
      </c>
      <c r="D9" s="20">
        <v>43430.893540810597</v>
      </c>
      <c r="E9" s="17" t="s">
        <v>181</v>
      </c>
    </row>
    <row r="10" spans="1:5" ht="25" customHeight="1" x14ac:dyDescent="0.35">
      <c r="A10" s="11" t="s">
        <v>184</v>
      </c>
      <c r="B10" s="89">
        <v>65318.713295322101</v>
      </c>
      <c r="C10" s="8">
        <v>186573.75906386701</v>
      </c>
      <c r="D10" s="20">
        <v>251892.47235918901</v>
      </c>
      <c r="E10" s="17" t="s">
        <v>181</v>
      </c>
    </row>
    <row r="11" spans="1:5" ht="25" customHeight="1" x14ac:dyDescent="0.4">
      <c r="A11" s="12" t="s">
        <v>463</v>
      </c>
      <c r="B11" s="68">
        <v>73873.147125000003</v>
      </c>
      <c r="C11" s="9">
        <v>221450.21877499999</v>
      </c>
      <c r="D11" s="21">
        <v>295323.36589999998</v>
      </c>
      <c r="E11" s="18" t="s">
        <v>181</v>
      </c>
    </row>
    <row r="12" spans="1:5" ht="25" customHeight="1" x14ac:dyDescent="0.35">
      <c r="A12" s="11" t="s">
        <v>464</v>
      </c>
      <c r="B12" s="89">
        <v>7888.8642250000003</v>
      </c>
      <c r="C12" s="8">
        <v>21575.231100000001</v>
      </c>
      <c r="D12" s="20">
        <v>29464.095324999998</v>
      </c>
      <c r="E12" s="17"/>
    </row>
    <row r="13" spans="1:5" ht="25" customHeight="1" x14ac:dyDescent="0.35">
      <c r="A13" s="11" t="s">
        <v>189</v>
      </c>
      <c r="B13" s="89">
        <v>1259.1572249999999</v>
      </c>
      <c r="C13" s="8">
        <v>6265.7114750000001</v>
      </c>
      <c r="D13" s="20">
        <v>7524.8687</v>
      </c>
      <c r="E13" s="17" t="s">
        <v>181</v>
      </c>
    </row>
    <row r="14" spans="1:5" ht="25" customHeight="1" x14ac:dyDescent="0.35">
      <c r="A14" s="11" t="s">
        <v>465</v>
      </c>
      <c r="B14" s="89">
        <v>2701.0660750000002</v>
      </c>
      <c r="C14" s="8">
        <v>30075.651450000001</v>
      </c>
      <c r="D14" s="20">
        <v>32776.717525</v>
      </c>
      <c r="E14" s="17" t="s">
        <v>181</v>
      </c>
    </row>
    <row r="15" spans="1:5" ht="25" customHeight="1" x14ac:dyDescent="0.35">
      <c r="A15" s="11" t="s">
        <v>466</v>
      </c>
      <c r="B15" s="89">
        <v>2852.553175</v>
      </c>
      <c r="C15" s="8">
        <v>27511.914525</v>
      </c>
      <c r="D15" s="20">
        <v>30364.467700000001</v>
      </c>
      <c r="E15" s="17" t="s">
        <v>181</v>
      </c>
    </row>
    <row r="16" spans="1:5" ht="25" customHeight="1" x14ac:dyDescent="0.35">
      <c r="A16" s="11" t="s">
        <v>467</v>
      </c>
      <c r="B16" s="89">
        <v>264.63281936865502</v>
      </c>
      <c r="C16" s="8">
        <v>2755.03440302526</v>
      </c>
      <c r="D16" s="20">
        <v>3019.6672223939199</v>
      </c>
      <c r="E16" s="17" t="s">
        <v>181</v>
      </c>
    </row>
    <row r="17" spans="1:5" ht="25" customHeight="1" x14ac:dyDescent="0.35">
      <c r="A17" s="11" t="s">
        <v>468</v>
      </c>
      <c r="B17" s="89">
        <v>80.734226159717394</v>
      </c>
      <c r="C17" s="8">
        <v>268.90320452285403</v>
      </c>
      <c r="D17" s="20">
        <v>349.63743068257099</v>
      </c>
      <c r="E17" s="17" t="s">
        <v>181</v>
      </c>
    </row>
    <row r="18" spans="1:5" ht="25" customHeight="1" x14ac:dyDescent="0.35">
      <c r="A18" s="11" t="s">
        <v>469</v>
      </c>
      <c r="B18" s="89">
        <v>2162.7806603915601</v>
      </c>
      <c r="C18" s="8">
        <v>2207.81691402758</v>
      </c>
      <c r="D18" s="20">
        <v>4370.5975744191401</v>
      </c>
      <c r="E18" s="17" t="s">
        <v>181</v>
      </c>
    </row>
    <row r="19" spans="1:5" ht="25" customHeight="1" x14ac:dyDescent="0.35">
      <c r="A19" s="11" t="s">
        <v>214</v>
      </c>
      <c r="B19" s="89">
        <v>8774.5807940800696</v>
      </c>
      <c r="C19" s="8">
        <v>3895.3821034243001</v>
      </c>
      <c r="D19" s="20">
        <v>12669.9628975044</v>
      </c>
      <c r="E19" s="90" t="s">
        <v>470</v>
      </c>
    </row>
    <row r="20" spans="1:5" ht="25" customHeight="1" x14ac:dyDescent="0.35">
      <c r="A20" s="11" t="s">
        <v>471</v>
      </c>
      <c r="B20" s="89">
        <v>152.16530014871799</v>
      </c>
      <c r="C20" s="8">
        <v>1974.63972701648</v>
      </c>
      <c r="D20" s="20">
        <v>2126.80502716519</v>
      </c>
      <c r="E20" s="17" t="s">
        <v>181</v>
      </c>
    </row>
    <row r="21" spans="1:5" ht="25" customHeight="1" x14ac:dyDescent="0.35">
      <c r="A21" s="11" t="s">
        <v>216</v>
      </c>
      <c r="B21" s="89">
        <v>1824.7802750000001</v>
      </c>
      <c r="C21" s="8">
        <v>20847.512774999999</v>
      </c>
      <c r="D21" s="20">
        <v>22672.29305</v>
      </c>
      <c r="E21" s="17" t="s">
        <v>181</v>
      </c>
    </row>
    <row r="22" spans="1:5" ht="25" customHeight="1" x14ac:dyDescent="0.35">
      <c r="A22" s="11" t="s">
        <v>472</v>
      </c>
      <c r="B22" s="89">
        <v>457.31035000000003</v>
      </c>
      <c r="C22" s="8">
        <v>972.25077499999998</v>
      </c>
      <c r="D22" s="20">
        <v>1429.5611249999999</v>
      </c>
      <c r="E22" s="17" t="s">
        <v>181</v>
      </c>
    </row>
    <row r="23" spans="1:5" ht="25" customHeight="1" x14ac:dyDescent="0.35">
      <c r="A23" s="11" t="s">
        <v>473</v>
      </c>
      <c r="B23" s="89">
        <v>4751.0046499999999</v>
      </c>
      <c r="C23" s="8">
        <v>6223.2192249999998</v>
      </c>
      <c r="D23" s="20">
        <v>10974.223875</v>
      </c>
      <c r="E23" s="17" t="s">
        <v>181</v>
      </c>
    </row>
    <row r="24" spans="1:5" ht="25" customHeight="1" x14ac:dyDescent="0.35">
      <c r="A24" s="11" t="s">
        <v>474</v>
      </c>
      <c r="B24" s="89">
        <v>6574.6260499999999</v>
      </c>
      <c r="C24" s="8">
        <v>17167.544999999998</v>
      </c>
      <c r="D24" s="20">
        <v>23742.171050000001</v>
      </c>
      <c r="E24" s="17" t="s">
        <v>181</v>
      </c>
    </row>
    <row r="25" spans="1:5" ht="25" customHeight="1" x14ac:dyDescent="0.35">
      <c r="A25" s="11" t="s">
        <v>475</v>
      </c>
      <c r="B25" s="89">
        <v>3237.1392000000001</v>
      </c>
      <c r="C25" s="8">
        <v>2508.2177000000001</v>
      </c>
      <c r="D25" s="20">
        <v>5745.3568999999998</v>
      </c>
      <c r="E25" s="17" t="s">
        <v>181</v>
      </c>
    </row>
    <row r="26" spans="1:5" ht="25" customHeight="1" x14ac:dyDescent="0.4">
      <c r="A26" s="12" t="s">
        <v>223</v>
      </c>
      <c r="B26" s="68">
        <v>127440.75210014899</v>
      </c>
      <c r="C26" s="9">
        <v>463719.486277016</v>
      </c>
      <c r="D26" s="21">
        <v>591160.23837716505</v>
      </c>
      <c r="E26" s="18" t="s">
        <v>181</v>
      </c>
    </row>
    <row r="27" spans="1:5" ht="25" customHeight="1" x14ac:dyDescent="0.35">
      <c r="A27" s="11" t="s">
        <v>224</v>
      </c>
      <c r="B27" s="89">
        <v>90276.921875</v>
      </c>
      <c r="C27" s="8">
        <v>65438.4326</v>
      </c>
      <c r="D27" s="20">
        <v>155715.354475</v>
      </c>
      <c r="E27" s="17" t="s">
        <v>181</v>
      </c>
    </row>
    <row r="28" spans="1:5" ht="25" customHeight="1" x14ac:dyDescent="0.35">
      <c r="A28" s="11" t="s">
        <v>476</v>
      </c>
      <c r="B28" s="89">
        <v>936564.40442499996</v>
      </c>
      <c r="C28" s="8">
        <v>219467.04874999999</v>
      </c>
      <c r="D28" s="20">
        <v>1156031.4531749999</v>
      </c>
      <c r="E28" s="17" t="s">
        <v>181</v>
      </c>
    </row>
    <row r="29" spans="1:5" ht="25" customHeight="1" x14ac:dyDescent="0.4">
      <c r="A29" s="12" t="s">
        <v>226</v>
      </c>
      <c r="B29" s="68">
        <v>1026841.3263</v>
      </c>
      <c r="C29" s="9">
        <v>284905.48135000002</v>
      </c>
      <c r="D29" s="21">
        <v>1311746.8076500001</v>
      </c>
      <c r="E29" s="18" t="s">
        <v>181</v>
      </c>
    </row>
    <row r="30" spans="1:5" ht="25" customHeight="1" x14ac:dyDescent="0.4">
      <c r="A30" s="12" t="s">
        <v>477</v>
      </c>
      <c r="B30" s="68">
        <v>1154282.0784001499</v>
      </c>
      <c r="C30" s="9">
        <v>748624.96762701601</v>
      </c>
      <c r="D30" s="21">
        <v>1902907.04602717</v>
      </c>
      <c r="E30" s="192"/>
    </row>
    <row r="31" spans="1:5" ht="25" customHeight="1" x14ac:dyDescent="0.35">
      <c r="A31" s="11" t="s">
        <v>228</v>
      </c>
      <c r="B31" s="89">
        <v>2660069.87</v>
      </c>
      <c r="C31" s="8">
        <v>21106.49</v>
      </c>
      <c r="D31" s="20">
        <v>2681176.36</v>
      </c>
      <c r="E31" s="17" t="s">
        <v>181</v>
      </c>
    </row>
    <row r="32" spans="1:5" ht="35.25" customHeight="1" x14ac:dyDescent="0.4">
      <c r="A32" s="58" t="s">
        <v>478</v>
      </c>
      <c r="B32" s="68">
        <v>3814351.9484001496</v>
      </c>
      <c r="C32" s="9">
        <v>769731.45762701693</v>
      </c>
      <c r="D32" s="21">
        <v>4584083.4060271606</v>
      </c>
      <c r="E32" s="90" t="s">
        <v>479</v>
      </c>
    </row>
    <row r="33" spans="1:5" ht="25" customHeight="1" x14ac:dyDescent="0.35">
      <c r="A33" s="11" t="s">
        <v>480</v>
      </c>
      <c r="B33" s="89">
        <v>380593.57</v>
      </c>
      <c r="C33" s="8">
        <v>59625.33</v>
      </c>
      <c r="D33" s="20">
        <v>440218.9</v>
      </c>
      <c r="E33" s="69" t="s">
        <v>230</v>
      </c>
    </row>
    <row r="34" spans="1:5" ht="25" customHeight="1" x14ac:dyDescent="0.4">
      <c r="A34" s="58" t="s">
        <v>231</v>
      </c>
      <c r="B34" s="68">
        <v>4194945.5184001504</v>
      </c>
      <c r="C34" s="9">
        <v>829356.78762701596</v>
      </c>
      <c r="D34" s="21">
        <v>5024302.30602716</v>
      </c>
      <c r="E34" s="17" t="s">
        <v>181</v>
      </c>
    </row>
    <row r="35" spans="1:5" ht="25" customHeight="1" x14ac:dyDescent="0.4">
      <c r="A35" s="57" t="s">
        <v>481</v>
      </c>
      <c r="B35" s="89">
        <v>34004</v>
      </c>
      <c r="C35" s="8">
        <v>14326</v>
      </c>
      <c r="D35" s="20">
        <v>48330</v>
      </c>
      <c r="E35" s="18" t="s">
        <v>181</v>
      </c>
    </row>
    <row r="36" spans="1:5" ht="25" customHeight="1" x14ac:dyDescent="0.4">
      <c r="A36" s="56" t="s">
        <v>232</v>
      </c>
      <c r="B36" s="13">
        <v>578341.02</v>
      </c>
      <c r="C36" s="14">
        <v>379.66</v>
      </c>
      <c r="D36" s="22">
        <v>578720.68000000005</v>
      </c>
      <c r="E36" s="27" t="s">
        <v>181</v>
      </c>
    </row>
    <row r="38" spans="1:5" x14ac:dyDescent="0.35">
      <c r="B38" s="67"/>
    </row>
    <row r="39" spans="1:5" x14ac:dyDescent="0.35">
      <c r="B39" s="67"/>
      <c r="C39" s="67"/>
      <c r="D39" s="67"/>
    </row>
    <row r="41" spans="1:5" x14ac:dyDescent="0.35">
      <c r="C41" s="67"/>
    </row>
  </sheetData>
  <hyperlinks>
    <hyperlink ref="A5" r:id="rId1" xr:uid="{00000000-0004-0000-1000-000000000000}"/>
  </hyperlinks>
  <pageMargins left="0.7" right="0.7" top="0.75" bottom="0.75" header="0.3" footer="0.3"/>
  <pageSetup paperSize="9" orientation="portrait" horizontalDpi="300" verticalDpi="300"/>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34"/>
  <sheetViews>
    <sheetView showGridLines="0" zoomScaleNormal="100" workbookViewId="0"/>
  </sheetViews>
  <sheetFormatPr defaultColWidth="11.5625" defaultRowHeight="15" x14ac:dyDescent="0.35"/>
  <cols>
    <col min="1" max="1" width="50.6875" customWidth="1"/>
    <col min="2" max="16" width="15.5625" customWidth="1"/>
    <col min="17" max="17" width="29.6875" style="6" customWidth="1"/>
  </cols>
  <sheetData>
    <row r="1" spans="1:17" ht="20.149999999999999" x14ac:dyDescent="0.5">
      <c r="A1" s="155" t="s">
        <v>482</v>
      </c>
    </row>
    <row r="2" spans="1:17" x14ac:dyDescent="0.35">
      <c r="A2" t="s">
        <v>34</v>
      </c>
    </row>
    <row r="3" spans="1:17" x14ac:dyDescent="0.35">
      <c r="A3" t="s">
        <v>160</v>
      </c>
      <c r="C3" s="67"/>
    </row>
    <row r="4" spans="1:17" x14ac:dyDescent="0.35">
      <c r="A4" s="3" t="str">
        <f>HYPERLINK("#Notes!A1", "Link to Notes table")</f>
        <v>Link to Notes table</v>
      </c>
      <c r="C4" s="67"/>
    </row>
    <row r="5" spans="1:17" x14ac:dyDescent="0.35">
      <c r="A5" s="3" t="s">
        <v>161</v>
      </c>
    </row>
    <row r="6" spans="1:17" ht="61.75" x14ac:dyDescent="0.4">
      <c r="A6" s="73" t="s">
        <v>483</v>
      </c>
      <c r="B6" s="74" t="s">
        <v>484</v>
      </c>
      <c r="C6" s="74" t="s">
        <v>485</v>
      </c>
      <c r="D6" s="74" t="s">
        <v>486</v>
      </c>
      <c r="E6" s="74" t="s">
        <v>487</v>
      </c>
      <c r="F6" s="52" t="s">
        <v>488</v>
      </c>
      <c r="G6" s="52" t="s">
        <v>489</v>
      </c>
      <c r="H6" s="74" t="s">
        <v>490</v>
      </c>
      <c r="I6" s="74" t="s">
        <v>491</v>
      </c>
      <c r="J6" s="74" t="s">
        <v>492</v>
      </c>
      <c r="K6" s="74" t="s">
        <v>493</v>
      </c>
      <c r="L6" s="52" t="s">
        <v>494</v>
      </c>
      <c r="M6" s="74" t="s">
        <v>495</v>
      </c>
      <c r="N6" s="74" t="s">
        <v>496</v>
      </c>
      <c r="O6" s="75" t="s">
        <v>497</v>
      </c>
      <c r="P6" s="75" t="s">
        <v>498</v>
      </c>
      <c r="Q6" s="80" t="s">
        <v>179</v>
      </c>
    </row>
    <row r="7" spans="1:17" ht="24.75" customHeight="1" x14ac:dyDescent="0.35">
      <c r="A7" s="76" t="s">
        <v>180</v>
      </c>
      <c r="B7" s="91">
        <v>0</v>
      </c>
      <c r="C7" s="92">
        <v>0</v>
      </c>
      <c r="D7" s="92" t="s">
        <v>406</v>
      </c>
      <c r="E7" s="92">
        <v>96</v>
      </c>
      <c r="F7" s="223">
        <v>560</v>
      </c>
      <c r="G7" s="223">
        <v>577</v>
      </c>
      <c r="H7" s="92">
        <v>309</v>
      </c>
      <c r="I7" s="92">
        <v>321</v>
      </c>
      <c r="J7" s="92">
        <v>372</v>
      </c>
      <c r="K7" s="92">
        <v>71</v>
      </c>
      <c r="L7" s="223" t="s">
        <v>406</v>
      </c>
      <c r="M7" s="92">
        <v>59</v>
      </c>
      <c r="N7" s="92">
        <v>86</v>
      </c>
      <c r="O7" s="93">
        <v>163</v>
      </c>
      <c r="P7" s="93">
        <v>2621</v>
      </c>
      <c r="Q7" s="193"/>
    </row>
    <row r="8" spans="1:17" ht="24.75" customHeight="1" x14ac:dyDescent="0.35">
      <c r="A8" s="76" t="s">
        <v>183</v>
      </c>
      <c r="B8" s="89" t="s">
        <v>406</v>
      </c>
      <c r="C8" s="8">
        <v>17</v>
      </c>
      <c r="D8" s="8">
        <v>7</v>
      </c>
      <c r="E8" s="8">
        <v>71</v>
      </c>
      <c r="F8" s="53">
        <v>525</v>
      </c>
      <c r="G8" s="53">
        <v>304</v>
      </c>
      <c r="H8" s="8">
        <v>168</v>
      </c>
      <c r="I8" s="8">
        <v>162</v>
      </c>
      <c r="J8" s="8">
        <v>253</v>
      </c>
      <c r="K8" s="8">
        <v>44</v>
      </c>
      <c r="L8" s="53" t="s">
        <v>406</v>
      </c>
      <c r="M8" s="8">
        <v>84</v>
      </c>
      <c r="N8" s="8">
        <v>95</v>
      </c>
      <c r="O8" s="20">
        <v>202</v>
      </c>
      <c r="P8" s="20">
        <v>1944</v>
      </c>
      <c r="Q8" s="194"/>
    </row>
    <row r="9" spans="1:17" ht="24.75" customHeight="1" x14ac:dyDescent="0.35">
      <c r="A9" s="76" t="s">
        <v>184</v>
      </c>
      <c r="B9" s="89">
        <v>15</v>
      </c>
      <c r="C9" s="8">
        <v>388</v>
      </c>
      <c r="D9" s="8">
        <v>9</v>
      </c>
      <c r="E9" s="8">
        <v>584</v>
      </c>
      <c r="F9" s="53">
        <v>2622</v>
      </c>
      <c r="G9" s="53">
        <v>1111</v>
      </c>
      <c r="H9" s="8">
        <v>403</v>
      </c>
      <c r="I9" s="8">
        <v>323</v>
      </c>
      <c r="J9" s="8">
        <v>403</v>
      </c>
      <c r="K9" s="8">
        <v>177</v>
      </c>
      <c r="L9" s="53">
        <v>86</v>
      </c>
      <c r="M9" s="8">
        <v>238</v>
      </c>
      <c r="N9" s="8">
        <v>259</v>
      </c>
      <c r="O9" s="20">
        <v>382</v>
      </c>
      <c r="P9" s="20">
        <v>7000</v>
      </c>
      <c r="Q9" s="194"/>
    </row>
    <row r="10" spans="1:17" ht="24.75" customHeight="1" x14ac:dyDescent="0.4">
      <c r="A10" s="215" t="s">
        <v>463</v>
      </c>
      <c r="B10" s="68">
        <v>15</v>
      </c>
      <c r="C10" s="9">
        <v>394</v>
      </c>
      <c r="D10" s="9">
        <v>9</v>
      </c>
      <c r="E10" s="9">
        <v>595</v>
      </c>
      <c r="F10" s="54">
        <v>2697</v>
      </c>
      <c r="G10" s="54">
        <v>1168</v>
      </c>
      <c r="H10" s="9">
        <v>435</v>
      </c>
      <c r="I10" s="9">
        <v>369</v>
      </c>
      <c r="J10" s="9">
        <v>479</v>
      </c>
      <c r="K10" s="9">
        <v>186</v>
      </c>
      <c r="L10" s="54">
        <v>88</v>
      </c>
      <c r="M10" s="9">
        <v>267</v>
      </c>
      <c r="N10" s="9">
        <v>282</v>
      </c>
      <c r="O10" s="21">
        <v>447</v>
      </c>
      <c r="P10" s="21">
        <v>7431</v>
      </c>
      <c r="Q10" s="195"/>
    </row>
    <row r="11" spans="1:17" ht="24.75" customHeight="1" x14ac:dyDescent="0.35">
      <c r="A11" s="76" t="s">
        <v>499</v>
      </c>
      <c r="B11" s="89">
        <v>12</v>
      </c>
      <c r="C11" s="8">
        <v>53</v>
      </c>
      <c r="D11" s="8">
        <v>156</v>
      </c>
      <c r="E11" s="8">
        <v>215</v>
      </c>
      <c r="F11" s="53">
        <v>316</v>
      </c>
      <c r="G11" s="53">
        <v>174</v>
      </c>
      <c r="H11" s="8">
        <v>148</v>
      </c>
      <c r="I11" s="8">
        <v>90</v>
      </c>
      <c r="J11" s="8">
        <v>232</v>
      </c>
      <c r="K11" s="8">
        <v>74</v>
      </c>
      <c r="L11" s="53">
        <v>7</v>
      </c>
      <c r="M11" s="8">
        <v>31</v>
      </c>
      <c r="N11" s="8">
        <v>10</v>
      </c>
      <c r="O11" s="20">
        <v>55</v>
      </c>
      <c r="P11" s="20">
        <v>1573</v>
      </c>
      <c r="Q11" s="194"/>
    </row>
    <row r="12" spans="1:17" ht="24.75" customHeight="1" x14ac:dyDescent="0.35">
      <c r="A12" s="76" t="s">
        <v>182</v>
      </c>
      <c r="B12" s="89">
        <v>0</v>
      </c>
      <c r="C12" s="8" t="s">
        <v>406</v>
      </c>
      <c r="D12" s="8" t="s">
        <v>406</v>
      </c>
      <c r="E12" s="8" t="s">
        <v>406</v>
      </c>
      <c r="F12" s="53" t="s">
        <v>406</v>
      </c>
      <c r="G12" s="53">
        <v>6</v>
      </c>
      <c r="H12" s="8" t="s">
        <v>406</v>
      </c>
      <c r="I12" s="8" t="s">
        <v>406</v>
      </c>
      <c r="J12" s="8">
        <v>5</v>
      </c>
      <c r="K12" s="8" t="s">
        <v>406</v>
      </c>
      <c r="L12" s="53" t="s">
        <v>406</v>
      </c>
      <c r="M12" s="8" t="s">
        <v>406</v>
      </c>
      <c r="N12" s="8" t="s">
        <v>406</v>
      </c>
      <c r="O12" s="20">
        <v>6</v>
      </c>
      <c r="P12" s="20">
        <v>39</v>
      </c>
      <c r="Q12" s="194"/>
    </row>
    <row r="13" spans="1:17" ht="24.75" customHeight="1" x14ac:dyDescent="0.35">
      <c r="A13" s="76" t="s">
        <v>465</v>
      </c>
      <c r="B13" s="89">
        <v>0</v>
      </c>
      <c r="C13" s="8">
        <v>0</v>
      </c>
      <c r="D13" s="8">
        <v>0</v>
      </c>
      <c r="E13" s="8">
        <v>71</v>
      </c>
      <c r="F13" s="53">
        <v>346</v>
      </c>
      <c r="G13" s="53">
        <v>282</v>
      </c>
      <c r="H13" s="8">
        <v>75</v>
      </c>
      <c r="I13" s="8">
        <v>129</v>
      </c>
      <c r="J13" s="8">
        <v>200</v>
      </c>
      <c r="K13" s="8">
        <v>14</v>
      </c>
      <c r="L13" s="53">
        <v>0</v>
      </c>
      <c r="M13" s="8" t="s">
        <v>406</v>
      </c>
      <c r="N13" s="8" t="s">
        <v>406</v>
      </c>
      <c r="O13" s="20">
        <v>19</v>
      </c>
      <c r="P13" s="20">
        <v>1138</v>
      </c>
      <c r="Q13" s="194" t="s">
        <v>181</v>
      </c>
    </row>
    <row r="14" spans="1:17" ht="24.75" customHeight="1" x14ac:dyDescent="0.35">
      <c r="A14" s="76" t="s">
        <v>466</v>
      </c>
      <c r="B14" s="89">
        <v>51</v>
      </c>
      <c r="C14" s="8">
        <v>80</v>
      </c>
      <c r="D14" s="8">
        <v>439</v>
      </c>
      <c r="E14" s="8">
        <v>479</v>
      </c>
      <c r="F14" s="53">
        <v>495</v>
      </c>
      <c r="G14" s="53">
        <v>824</v>
      </c>
      <c r="H14" s="8">
        <v>205</v>
      </c>
      <c r="I14" s="8">
        <v>100</v>
      </c>
      <c r="J14" s="8">
        <v>122</v>
      </c>
      <c r="K14" s="8">
        <v>15</v>
      </c>
      <c r="L14" s="53">
        <v>24</v>
      </c>
      <c r="M14" s="8">
        <v>23</v>
      </c>
      <c r="N14" s="8">
        <v>42</v>
      </c>
      <c r="O14" s="20">
        <v>37</v>
      </c>
      <c r="P14" s="20">
        <v>2936</v>
      </c>
      <c r="Q14" s="194" t="s">
        <v>181</v>
      </c>
    </row>
    <row r="15" spans="1:17" ht="24.75" customHeight="1" x14ac:dyDescent="0.35">
      <c r="A15" s="76" t="s">
        <v>500</v>
      </c>
      <c r="B15" s="89">
        <v>0</v>
      </c>
      <c r="C15" s="8">
        <v>0</v>
      </c>
      <c r="D15" s="8" t="s">
        <v>406</v>
      </c>
      <c r="E15" s="8">
        <v>14</v>
      </c>
      <c r="F15" s="53">
        <v>39</v>
      </c>
      <c r="G15" s="53">
        <v>46</v>
      </c>
      <c r="H15" s="8">
        <v>44</v>
      </c>
      <c r="I15" s="8">
        <v>32</v>
      </c>
      <c r="J15" s="8">
        <v>34</v>
      </c>
      <c r="K15" s="8">
        <v>14</v>
      </c>
      <c r="L15" s="53">
        <v>0</v>
      </c>
      <c r="M15" s="8" t="s">
        <v>406</v>
      </c>
      <c r="N15" s="8">
        <v>10</v>
      </c>
      <c r="O15" s="20">
        <v>18</v>
      </c>
      <c r="P15" s="20">
        <v>255</v>
      </c>
      <c r="Q15" s="194"/>
    </row>
    <row r="16" spans="1:17" ht="24.75" customHeight="1" x14ac:dyDescent="0.35">
      <c r="A16" s="76" t="s">
        <v>501</v>
      </c>
      <c r="B16" s="89">
        <v>91</v>
      </c>
      <c r="C16" s="8">
        <v>209</v>
      </c>
      <c r="D16" s="8">
        <v>73</v>
      </c>
      <c r="E16" s="8">
        <v>404</v>
      </c>
      <c r="F16" s="53">
        <v>721</v>
      </c>
      <c r="G16" s="53">
        <v>231</v>
      </c>
      <c r="H16" s="8">
        <v>69</v>
      </c>
      <c r="I16" s="8">
        <v>61</v>
      </c>
      <c r="J16" s="8">
        <v>211</v>
      </c>
      <c r="K16" s="8">
        <v>44</v>
      </c>
      <c r="L16" s="53">
        <v>55</v>
      </c>
      <c r="M16" s="8">
        <v>73</v>
      </c>
      <c r="N16" s="8">
        <v>88</v>
      </c>
      <c r="O16" s="20">
        <v>272</v>
      </c>
      <c r="P16" s="20">
        <v>2602</v>
      </c>
      <c r="Q16" s="194" t="s">
        <v>470</v>
      </c>
    </row>
    <row r="17" spans="1:17" ht="24.75" customHeight="1" x14ac:dyDescent="0.35">
      <c r="A17" s="76" t="s">
        <v>216</v>
      </c>
      <c r="B17" s="89">
        <v>37</v>
      </c>
      <c r="C17" s="8">
        <v>36</v>
      </c>
      <c r="D17" s="8">
        <v>294</v>
      </c>
      <c r="E17" s="8">
        <v>428</v>
      </c>
      <c r="F17" s="53">
        <v>368</v>
      </c>
      <c r="G17" s="53">
        <v>578</v>
      </c>
      <c r="H17" s="8">
        <v>213</v>
      </c>
      <c r="I17" s="8">
        <v>128</v>
      </c>
      <c r="J17" s="8">
        <v>132</v>
      </c>
      <c r="K17" s="8">
        <v>17</v>
      </c>
      <c r="L17" s="53">
        <v>39</v>
      </c>
      <c r="M17" s="8">
        <v>23</v>
      </c>
      <c r="N17" s="8">
        <v>37</v>
      </c>
      <c r="O17" s="20">
        <v>48</v>
      </c>
      <c r="P17" s="20">
        <v>2378</v>
      </c>
      <c r="Q17" s="194" t="s">
        <v>181</v>
      </c>
    </row>
    <row r="18" spans="1:17" ht="24.75" customHeight="1" x14ac:dyDescent="0.35">
      <c r="A18" s="76" t="s">
        <v>471</v>
      </c>
      <c r="B18" s="89">
        <v>12</v>
      </c>
      <c r="C18" s="8">
        <v>13</v>
      </c>
      <c r="D18" s="8">
        <v>139</v>
      </c>
      <c r="E18" s="8">
        <v>379</v>
      </c>
      <c r="F18" s="53">
        <v>132</v>
      </c>
      <c r="G18" s="53">
        <v>125</v>
      </c>
      <c r="H18" s="8">
        <v>50</v>
      </c>
      <c r="I18" s="8">
        <v>41</v>
      </c>
      <c r="J18" s="8">
        <v>44</v>
      </c>
      <c r="K18" s="8">
        <v>9</v>
      </c>
      <c r="L18" s="53">
        <v>47</v>
      </c>
      <c r="M18" s="8">
        <v>46</v>
      </c>
      <c r="N18" s="8">
        <v>34</v>
      </c>
      <c r="O18" s="20">
        <v>43</v>
      </c>
      <c r="P18" s="20">
        <v>1114</v>
      </c>
      <c r="Q18" s="194" t="s">
        <v>181</v>
      </c>
    </row>
    <row r="19" spans="1:17" ht="24.75" customHeight="1" x14ac:dyDescent="0.35">
      <c r="A19" s="76" t="s">
        <v>472</v>
      </c>
      <c r="B19" s="89" t="s">
        <v>406</v>
      </c>
      <c r="C19" s="8" t="s">
        <v>406</v>
      </c>
      <c r="D19" s="8">
        <v>43</v>
      </c>
      <c r="E19" s="8">
        <v>68</v>
      </c>
      <c r="F19" s="53">
        <v>70</v>
      </c>
      <c r="G19" s="53">
        <v>57</v>
      </c>
      <c r="H19" s="8">
        <v>11</v>
      </c>
      <c r="I19" s="8">
        <v>14</v>
      </c>
      <c r="J19" s="8">
        <v>8</v>
      </c>
      <c r="K19" s="8">
        <v>6</v>
      </c>
      <c r="L19" s="53">
        <v>16</v>
      </c>
      <c r="M19" s="8">
        <v>9</v>
      </c>
      <c r="N19" s="8">
        <v>10</v>
      </c>
      <c r="O19" s="20">
        <v>12</v>
      </c>
      <c r="P19" s="20">
        <v>331</v>
      </c>
      <c r="Q19" s="194" t="s">
        <v>181</v>
      </c>
    </row>
    <row r="20" spans="1:17" ht="24.75" customHeight="1" x14ac:dyDescent="0.35">
      <c r="A20" s="76" t="s">
        <v>219</v>
      </c>
      <c r="B20" s="89">
        <v>34</v>
      </c>
      <c r="C20" s="8">
        <v>117</v>
      </c>
      <c r="D20" s="8">
        <v>37</v>
      </c>
      <c r="E20" s="8">
        <v>273</v>
      </c>
      <c r="F20" s="53">
        <v>451</v>
      </c>
      <c r="G20" s="53">
        <v>327</v>
      </c>
      <c r="H20" s="8">
        <v>148</v>
      </c>
      <c r="I20" s="8">
        <v>121</v>
      </c>
      <c r="J20" s="8">
        <v>252</v>
      </c>
      <c r="K20" s="8">
        <v>32</v>
      </c>
      <c r="L20" s="53">
        <v>18</v>
      </c>
      <c r="M20" s="8">
        <v>38</v>
      </c>
      <c r="N20" s="8">
        <v>59</v>
      </c>
      <c r="O20" s="20">
        <v>98</v>
      </c>
      <c r="P20" s="20">
        <v>2005</v>
      </c>
      <c r="Q20" s="194" t="s">
        <v>181</v>
      </c>
    </row>
    <row r="21" spans="1:17" ht="24.75" customHeight="1" x14ac:dyDescent="0.35">
      <c r="A21" s="76" t="s">
        <v>220</v>
      </c>
      <c r="B21" s="89">
        <v>22</v>
      </c>
      <c r="C21" s="8">
        <v>69</v>
      </c>
      <c r="D21" s="8">
        <v>192</v>
      </c>
      <c r="E21" s="8">
        <v>633</v>
      </c>
      <c r="F21" s="53">
        <v>1856</v>
      </c>
      <c r="G21" s="53">
        <v>955</v>
      </c>
      <c r="H21" s="8">
        <v>370</v>
      </c>
      <c r="I21" s="8">
        <v>299</v>
      </c>
      <c r="J21" s="8">
        <v>310</v>
      </c>
      <c r="K21" s="8">
        <v>137</v>
      </c>
      <c r="L21" s="53">
        <v>39</v>
      </c>
      <c r="M21" s="8">
        <v>146</v>
      </c>
      <c r="N21" s="8">
        <v>107</v>
      </c>
      <c r="O21" s="20">
        <v>158</v>
      </c>
      <c r="P21" s="20">
        <v>5293</v>
      </c>
      <c r="Q21" s="194" t="s">
        <v>181</v>
      </c>
    </row>
    <row r="22" spans="1:17" ht="24.75" customHeight="1" x14ac:dyDescent="0.35">
      <c r="A22" s="76" t="s">
        <v>221</v>
      </c>
      <c r="B22" s="89">
        <v>25</v>
      </c>
      <c r="C22" s="8">
        <v>99</v>
      </c>
      <c r="D22" s="8">
        <v>250</v>
      </c>
      <c r="E22" s="8">
        <v>534</v>
      </c>
      <c r="F22" s="53">
        <v>563</v>
      </c>
      <c r="G22" s="53">
        <v>234</v>
      </c>
      <c r="H22" s="8">
        <v>97</v>
      </c>
      <c r="I22" s="8">
        <v>89</v>
      </c>
      <c r="J22" s="8">
        <v>112</v>
      </c>
      <c r="K22" s="8">
        <v>53</v>
      </c>
      <c r="L22" s="53">
        <v>66</v>
      </c>
      <c r="M22" s="8">
        <v>127</v>
      </c>
      <c r="N22" s="8">
        <v>98</v>
      </c>
      <c r="O22" s="20">
        <v>120</v>
      </c>
      <c r="P22" s="20">
        <v>2467</v>
      </c>
      <c r="Q22" s="194" t="s">
        <v>181</v>
      </c>
    </row>
    <row r="23" spans="1:17" ht="24.75" customHeight="1" x14ac:dyDescent="0.4">
      <c r="A23" s="215" t="s">
        <v>223</v>
      </c>
      <c r="B23" s="68">
        <v>213</v>
      </c>
      <c r="C23" s="9">
        <v>654</v>
      </c>
      <c r="D23" s="9">
        <v>1015</v>
      </c>
      <c r="E23" s="9">
        <v>2228</v>
      </c>
      <c r="F23" s="54">
        <v>3907</v>
      </c>
      <c r="G23" s="54">
        <v>1723</v>
      </c>
      <c r="H23" s="9">
        <v>670</v>
      </c>
      <c r="I23" s="9">
        <v>611</v>
      </c>
      <c r="J23" s="9">
        <v>887</v>
      </c>
      <c r="K23" s="9">
        <v>343</v>
      </c>
      <c r="L23" s="54">
        <v>287</v>
      </c>
      <c r="M23" s="9">
        <v>560</v>
      </c>
      <c r="N23" s="9">
        <v>551</v>
      </c>
      <c r="O23" s="21">
        <v>916</v>
      </c>
      <c r="P23" s="21">
        <v>14565</v>
      </c>
      <c r="Q23" s="195" t="s">
        <v>181</v>
      </c>
    </row>
    <row r="24" spans="1:17" ht="24.75" customHeight="1" x14ac:dyDescent="0.35">
      <c r="A24" s="76" t="s">
        <v>224</v>
      </c>
      <c r="B24" s="89">
        <v>241</v>
      </c>
      <c r="C24" s="8">
        <v>732</v>
      </c>
      <c r="D24" s="8">
        <v>988</v>
      </c>
      <c r="E24" s="8">
        <v>2208</v>
      </c>
      <c r="F24" s="53">
        <v>3653</v>
      </c>
      <c r="G24" s="53">
        <v>1313</v>
      </c>
      <c r="H24" s="8">
        <v>504</v>
      </c>
      <c r="I24" s="8">
        <v>509</v>
      </c>
      <c r="J24" s="8">
        <v>877</v>
      </c>
      <c r="K24" s="8">
        <v>413</v>
      </c>
      <c r="L24" s="53">
        <v>252</v>
      </c>
      <c r="M24" s="8">
        <v>821</v>
      </c>
      <c r="N24" s="8">
        <v>649</v>
      </c>
      <c r="O24" s="20">
        <v>1201</v>
      </c>
      <c r="P24" s="20">
        <v>14361</v>
      </c>
      <c r="Q24" s="194" t="s">
        <v>181</v>
      </c>
    </row>
    <row r="25" spans="1:17" ht="24.75" customHeight="1" x14ac:dyDescent="0.35">
      <c r="A25" s="76" t="s">
        <v>476</v>
      </c>
      <c r="B25" s="89">
        <v>1496</v>
      </c>
      <c r="C25" s="8">
        <v>1562</v>
      </c>
      <c r="D25" s="8">
        <v>4263</v>
      </c>
      <c r="E25" s="8">
        <v>7639</v>
      </c>
      <c r="F25" s="53">
        <v>7533</v>
      </c>
      <c r="G25" s="53">
        <v>3056</v>
      </c>
      <c r="H25" s="8">
        <v>1281</v>
      </c>
      <c r="I25" s="8">
        <v>1280</v>
      </c>
      <c r="J25" s="8">
        <v>2307</v>
      </c>
      <c r="K25" s="8">
        <v>1339</v>
      </c>
      <c r="L25" s="53">
        <v>1556</v>
      </c>
      <c r="M25" s="8">
        <v>2698</v>
      </c>
      <c r="N25" s="8">
        <v>2493</v>
      </c>
      <c r="O25" s="20">
        <v>3581</v>
      </c>
      <c r="P25" s="20">
        <v>42084</v>
      </c>
      <c r="Q25" s="194" t="s">
        <v>181</v>
      </c>
    </row>
    <row r="26" spans="1:17" ht="24.75" customHeight="1" x14ac:dyDescent="0.35">
      <c r="A26" s="76" t="s">
        <v>502</v>
      </c>
      <c r="B26" s="89">
        <v>711</v>
      </c>
      <c r="C26" s="8">
        <v>483</v>
      </c>
      <c r="D26" s="8">
        <v>1070</v>
      </c>
      <c r="E26" s="8">
        <v>2717</v>
      </c>
      <c r="F26" s="53">
        <v>2077</v>
      </c>
      <c r="G26" s="53">
        <v>872</v>
      </c>
      <c r="H26" s="8">
        <v>222</v>
      </c>
      <c r="I26" s="8">
        <v>240</v>
      </c>
      <c r="J26" s="8">
        <v>718</v>
      </c>
      <c r="K26" s="8">
        <v>333</v>
      </c>
      <c r="L26" s="53">
        <v>860</v>
      </c>
      <c r="M26" s="8">
        <v>611</v>
      </c>
      <c r="N26" s="8">
        <v>552</v>
      </c>
      <c r="O26" s="20">
        <v>1213</v>
      </c>
      <c r="P26" s="20">
        <v>12679</v>
      </c>
      <c r="Q26" s="194" t="s">
        <v>181</v>
      </c>
    </row>
    <row r="27" spans="1:17" s="168" customFormat="1" ht="24.75" customHeight="1" x14ac:dyDescent="0.4">
      <c r="A27" s="217" t="s">
        <v>503</v>
      </c>
      <c r="B27" s="212">
        <v>1573</v>
      </c>
      <c r="C27" s="64">
        <v>1626</v>
      </c>
      <c r="D27" s="64">
        <v>4640</v>
      </c>
      <c r="E27" s="64">
        <v>8286</v>
      </c>
      <c r="F27" s="65">
        <v>7935</v>
      </c>
      <c r="G27" s="65">
        <v>3268</v>
      </c>
      <c r="H27" s="64">
        <v>1328</v>
      </c>
      <c r="I27" s="64">
        <v>1341</v>
      </c>
      <c r="J27" s="64">
        <v>2408</v>
      </c>
      <c r="K27" s="64">
        <v>1417</v>
      </c>
      <c r="L27" s="65">
        <v>1709</v>
      </c>
      <c r="M27" s="64">
        <v>2813</v>
      </c>
      <c r="N27" s="64">
        <v>2585</v>
      </c>
      <c r="O27" s="50">
        <v>3735</v>
      </c>
      <c r="P27" s="50">
        <v>44664</v>
      </c>
      <c r="Q27" s="196" t="s">
        <v>181</v>
      </c>
    </row>
    <row r="28" spans="1:17" s="188" customFormat="1" ht="36.75" customHeight="1" x14ac:dyDescent="0.35">
      <c r="A28" s="219" t="s">
        <v>504</v>
      </c>
      <c r="B28" s="224">
        <v>1589</v>
      </c>
      <c r="C28" s="185">
        <v>1698</v>
      </c>
      <c r="D28" s="185">
        <v>4968</v>
      </c>
      <c r="E28" s="185">
        <v>8759</v>
      </c>
      <c r="F28" s="186">
        <v>8336</v>
      </c>
      <c r="G28" s="186">
        <v>3489</v>
      </c>
      <c r="H28" s="185">
        <v>1400</v>
      </c>
      <c r="I28" s="185">
        <v>1414</v>
      </c>
      <c r="J28" s="185">
        <v>2464</v>
      </c>
      <c r="K28" s="185">
        <v>1474</v>
      </c>
      <c r="L28" s="186">
        <v>1776</v>
      </c>
      <c r="M28" s="185">
        <v>2898</v>
      </c>
      <c r="N28" s="185">
        <v>2642</v>
      </c>
      <c r="O28" s="187">
        <v>3812</v>
      </c>
      <c r="P28" s="187">
        <v>46719</v>
      </c>
      <c r="Q28" s="197" t="s">
        <v>479</v>
      </c>
    </row>
    <row r="29" spans="1:17" ht="24.75" customHeight="1" x14ac:dyDescent="0.35">
      <c r="A29" s="76" t="s">
        <v>480</v>
      </c>
      <c r="B29" s="89">
        <v>442</v>
      </c>
      <c r="C29" s="8">
        <v>418</v>
      </c>
      <c r="D29" s="8">
        <v>648</v>
      </c>
      <c r="E29" s="8">
        <v>2760</v>
      </c>
      <c r="F29" s="53">
        <v>3184</v>
      </c>
      <c r="G29" s="53">
        <v>1663</v>
      </c>
      <c r="H29" s="8">
        <v>627</v>
      </c>
      <c r="I29" s="8">
        <v>594</v>
      </c>
      <c r="J29" s="8">
        <v>1468</v>
      </c>
      <c r="K29" s="8">
        <v>606</v>
      </c>
      <c r="L29" s="53">
        <v>832</v>
      </c>
      <c r="M29" s="8">
        <v>1056</v>
      </c>
      <c r="N29" s="8">
        <v>1110</v>
      </c>
      <c r="O29" s="20">
        <v>2181</v>
      </c>
      <c r="P29" s="20">
        <v>17589</v>
      </c>
      <c r="Q29" s="69" t="s">
        <v>230</v>
      </c>
    </row>
    <row r="30" spans="1:17" s="168" customFormat="1" ht="24.75" customHeight="1" x14ac:dyDescent="0.4">
      <c r="A30" s="217" t="s">
        <v>481</v>
      </c>
      <c r="B30" s="212">
        <v>1706</v>
      </c>
      <c r="C30" s="64">
        <v>1736</v>
      </c>
      <c r="D30" s="64">
        <v>5237</v>
      </c>
      <c r="E30" s="64">
        <v>9161</v>
      </c>
      <c r="F30" s="65">
        <v>8475</v>
      </c>
      <c r="G30" s="65">
        <v>3569</v>
      </c>
      <c r="H30" s="64">
        <v>1444</v>
      </c>
      <c r="I30" s="64">
        <v>1463</v>
      </c>
      <c r="J30" s="64">
        <v>2543</v>
      </c>
      <c r="K30" s="64">
        <v>1507</v>
      </c>
      <c r="L30" s="65">
        <v>1846</v>
      </c>
      <c r="M30" s="64">
        <v>2982</v>
      </c>
      <c r="N30" s="64">
        <v>2711</v>
      </c>
      <c r="O30" s="50">
        <v>3950</v>
      </c>
      <c r="P30" s="50">
        <v>48330</v>
      </c>
      <c r="Q30" s="196" t="s">
        <v>181</v>
      </c>
    </row>
    <row r="31" spans="1:17" ht="24.75" customHeight="1" x14ac:dyDescent="0.35">
      <c r="A31" s="81" t="s">
        <v>232</v>
      </c>
      <c r="B31" s="198" t="s">
        <v>505</v>
      </c>
      <c r="C31" s="199" t="s">
        <v>505</v>
      </c>
      <c r="D31" s="199" t="s">
        <v>505</v>
      </c>
      <c r="E31" s="199" t="s">
        <v>505</v>
      </c>
      <c r="F31" s="120" t="s">
        <v>505</v>
      </c>
      <c r="G31" s="120" t="s">
        <v>505</v>
      </c>
      <c r="H31" s="199" t="s">
        <v>505</v>
      </c>
      <c r="I31" s="199" t="s">
        <v>505</v>
      </c>
      <c r="J31" s="199" t="s">
        <v>505</v>
      </c>
      <c r="K31" s="199" t="s">
        <v>505</v>
      </c>
      <c r="L31" s="120" t="s">
        <v>505</v>
      </c>
      <c r="M31" s="199" t="s">
        <v>505</v>
      </c>
      <c r="N31" s="199" t="s">
        <v>505</v>
      </c>
      <c r="O31" s="200" t="s">
        <v>505</v>
      </c>
      <c r="P31" s="200" t="s">
        <v>505</v>
      </c>
      <c r="Q31" s="201" t="s">
        <v>181</v>
      </c>
    </row>
    <row r="32" spans="1:17" x14ac:dyDescent="0.35">
      <c r="B32" s="67"/>
      <c r="C32" s="67"/>
      <c r="D32" s="67"/>
      <c r="E32" s="67"/>
      <c r="F32" s="67"/>
      <c r="G32" s="67"/>
      <c r="H32" s="67"/>
      <c r="I32" s="67"/>
      <c r="J32" s="67"/>
      <c r="K32" s="67"/>
      <c r="L32" s="67"/>
      <c r="M32" s="67"/>
      <c r="N32" s="67"/>
      <c r="O32" s="67"/>
      <c r="P32" s="67"/>
      <c r="Q32" s="67"/>
    </row>
    <row r="33" spans="2:16" x14ac:dyDescent="0.35">
      <c r="B33" s="67"/>
      <c r="C33" s="67"/>
      <c r="D33" s="67"/>
      <c r="E33" s="67"/>
      <c r="F33" s="67"/>
      <c r="G33" s="67"/>
      <c r="H33" s="67"/>
      <c r="I33" s="67"/>
      <c r="J33" s="67"/>
      <c r="K33" s="67"/>
      <c r="L33" s="67"/>
      <c r="M33" s="67"/>
      <c r="N33" s="67"/>
      <c r="O33" s="67"/>
      <c r="P33" s="67"/>
    </row>
    <row r="34" spans="2:16" x14ac:dyDescent="0.35">
      <c r="B34" s="67"/>
      <c r="C34" s="67"/>
      <c r="D34" s="67"/>
      <c r="E34" s="67"/>
      <c r="F34" s="67"/>
      <c r="G34" s="67"/>
      <c r="H34" s="67"/>
      <c r="I34" s="67"/>
      <c r="J34" s="67"/>
      <c r="K34" s="67"/>
      <c r="L34" s="67"/>
      <c r="M34" s="67"/>
      <c r="N34" s="67"/>
      <c r="O34" s="67"/>
      <c r="P34" s="67"/>
    </row>
  </sheetData>
  <hyperlinks>
    <hyperlink ref="A5" r:id="rId1" xr:uid="{00000000-0004-0000-1100-000000000000}"/>
  </hyperlinks>
  <pageMargins left="0.7" right="0.7" top="0.75" bottom="0.75" header="0.3" footer="0.3"/>
  <pageSetup paperSize="9" orientation="portrait" horizontalDpi="300" verticalDpi="300"/>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5"/>
  <sheetViews>
    <sheetView showGridLines="0" zoomScaleNormal="100" workbookViewId="0"/>
  </sheetViews>
  <sheetFormatPr defaultColWidth="11.5625" defaultRowHeight="15" x14ac:dyDescent="0.35"/>
  <cols>
    <col min="1" max="1" width="50.6875" customWidth="1"/>
    <col min="2" max="16" width="15.5625" customWidth="1"/>
    <col min="17" max="17" width="30" style="6" customWidth="1"/>
  </cols>
  <sheetData>
    <row r="1" spans="1:17" ht="20.149999999999999" x14ac:dyDescent="0.5">
      <c r="A1" s="1" t="s">
        <v>506</v>
      </c>
    </row>
    <row r="2" spans="1:17" x14ac:dyDescent="0.35">
      <c r="A2" t="s">
        <v>34</v>
      </c>
    </row>
    <row r="3" spans="1:17" x14ac:dyDescent="0.35">
      <c r="A3" t="s">
        <v>160</v>
      </c>
      <c r="C3" s="67"/>
    </row>
    <row r="4" spans="1:17" x14ac:dyDescent="0.35">
      <c r="A4" s="3" t="str">
        <f>HYPERLINK("#Notes!A1", "Link to Notes table")</f>
        <v>Link to Notes table</v>
      </c>
      <c r="C4" s="67"/>
    </row>
    <row r="5" spans="1:17" x14ac:dyDescent="0.35">
      <c r="A5" s="3" t="s">
        <v>161</v>
      </c>
    </row>
    <row r="6" spans="1:17" ht="61.75" x14ac:dyDescent="0.4">
      <c r="A6" s="73" t="s">
        <v>483</v>
      </c>
      <c r="B6" s="74" t="s">
        <v>507</v>
      </c>
      <c r="C6" s="74" t="s">
        <v>508</v>
      </c>
      <c r="D6" s="74" t="s">
        <v>509</v>
      </c>
      <c r="E6" s="74" t="s">
        <v>510</v>
      </c>
      <c r="F6" s="52" t="s">
        <v>511</v>
      </c>
      <c r="G6" s="52" t="s">
        <v>512</v>
      </c>
      <c r="H6" s="74" t="s">
        <v>513</v>
      </c>
      <c r="I6" s="74" t="s">
        <v>514</v>
      </c>
      <c r="J6" s="74" t="s">
        <v>515</v>
      </c>
      <c r="K6" s="74" t="s">
        <v>516</v>
      </c>
      <c r="L6" s="52" t="s">
        <v>517</v>
      </c>
      <c r="M6" s="74" t="s">
        <v>518</v>
      </c>
      <c r="N6" s="74" t="s">
        <v>519</v>
      </c>
      <c r="O6" s="75" t="s">
        <v>520</v>
      </c>
      <c r="P6" s="75" t="s">
        <v>521</v>
      </c>
      <c r="Q6" s="213" t="s">
        <v>179</v>
      </c>
    </row>
    <row r="7" spans="1:17" ht="25" customHeight="1" x14ac:dyDescent="0.35">
      <c r="A7" s="76" t="s">
        <v>180</v>
      </c>
      <c r="B7" s="8">
        <v>0</v>
      </c>
      <c r="C7" s="8">
        <v>0</v>
      </c>
      <c r="D7" s="8" t="s">
        <v>406</v>
      </c>
      <c r="E7" s="8">
        <v>2692.0891000000001</v>
      </c>
      <c r="F7" s="53">
        <v>18706.2559</v>
      </c>
      <c r="G7" s="53">
        <v>24257.947025000001</v>
      </c>
      <c r="H7" s="8">
        <v>14413.06055</v>
      </c>
      <c r="I7" s="8">
        <v>16999.815299999998</v>
      </c>
      <c r="J7" s="8">
        <v>23288.987225000001</v>
      </c>
      <c r="K7" s="8">
        <v>1875.3375000000001</v>
      </c>
      <c r="L7" s="53" t="s">
        <v>406</v>
      </c>
      <c r="M7" s="8">
        <v>913.50094999999999</v>
      </c>
      <c r="N7" s="8">
        <v>1507.8155750000001</v>
      </c>
      <c r="O7" s="20">
        <v>3562.6907500000002</v>
      </c>
      <c r="P7" s="20">
        <v>108256.05527500001</v>
      </c>
      <c r="Q7" s="214" t="s">
        <v>181</v>
      </c>
    </row>
    <row r="8" spans="1:17" ht="25" customHeight="1" x14ac:dyDescent="0.35">
      <c r="A8" s="76" t="s">
        <v>183</v>
      </c>
      <c r="B8" s="8" t="s">
        <v>406</v>
      </c>
      <c r="C8" s="8">
        <v>21.090834897146699</v>
      </c>
      <c r="D8" s="8" t="s">
        <v>406</v>
      </c>
      <c r="E8" s="8">
        <v>1205.40813557414</v>
      </c>
      <c r="F8" s="53">
        <v>14595.317768336899</v>
      </c>
      <c r="G8" s="53">
        <v>5877.44279784641</v>
      </c>
      <c r="H8" s="8">
        <v>3390.82606995878</v>
      </c>
      <c r="I8" s="8">
        <v>4465.0810208016101</v>
      </c>
      <c r="J8" s="8">
        <v>7276.7237855722897</v>
      </c>
      <c r="K8" s="8">
        <v>737.74431366261695</v>
      </c>
      <c r="L8" s="53">
        <v>120.216043007697</v>
      </c>
      <c r="M8" s="8">
        <v>1018.25594065771</v>
      </c>
      <c r="N8" s="8">
        <v>1123.6730028699401</v>
      </c>
      <c r="O8" s="20">
        <v>3598.3343179667299</v>
      </c>
      <c r="P8" s="20">
        <v>43430.893540810597</v>
      </c>
      <c r="Q8" s="214" t="s">
        <v>181</v>
      </c>
    </row>
    <row r="9" spans="1:17" ht="25" customHeight="1" x14ac:dyDescent="0.35">
      <c r="A9" s="76" t="s">
        <v>184</v>
      </c>
      <c r="B9" s="8" t="s">
        <v>406</v>
      </c>
      <c r="C9" s="8">
        <v>3768.8285901028498</v>
      </c>
      <c r="D9" s="8" t="s">
        <v>406</v>
      </c>
      <c r="E9" s="8">
        <v>23744.2260644259</v>
      </c>
      <c r="F9" s="53">
        <v>112420.645256663</v>
      </c>
      <c r="G9" s="53">
        <v>46597.132302153601</v>
      </c>
      <c r="H9" s="8">
        <v>14885.0794800412</v>
      </c>
      <c r="I9" s="8">
        <v>11382.285054198401</v>
      </c>
      <c r="J9" s="8">
        <v>14749.793314427699</v>
      </c>
      <c r="K9" s="8">
        <v>6847.6617613373801</v>
      </c>
      <c r="L9" s="53">
        <v>1519.1766319922999</v>
      </c>
      <c r="M9" s="8">
        <v>4563.7349843422899</v>
      </c>
      <c r="N9" s="8">
        <v>4350.8514721300598</v>
      </c>
      <c r="O9" s="20">
        <v>7000.14228203327</v>
      </c>
      <c r="P9" s="20">
        <v>251892.47235918901</v>
      </c>
      <c r="Q9" s="214" t="s">
        <v>181</v>
      </c>
    </row>
    <row r="10" spans="1:17" ht="25" customHeight="1" x14ac:dyDescent="0.4">
      <c r="A10" s="215" t="s">
        <v>463</v>
      </c>
      <c r="B10" s="9">
        <v>59.369675000000001</v>
      </c>
      <c r="C10" s="9">
        <v>3789.919425</v>
      </c>
      <c r="D10" s="9">
        <v>4.3250000000000002</v>
      </c>
      <c r="E10" s="9">
        <v>24949.6342</v>
      </c>
      <c r="F10" s="54">
        <v>127015.963025</v>
      </c>
      <c r="G10" s="54">
        <v>52474.575100000002</v>
      </c>
      <c r="H10" s="9">
        <v>18275.905549999999</v>
      </c>
      <c r="I10" s="9">
        <v>15847.366075</v>
      </c>
      <c r="J10" s="9">
        <v>22026.517100000001</v>
      </c>
      <c r="K10" s="9">
        <v>7585.4060749999999</v>
      </c>
      <c r="L10" s="54">
        <v>1639.3926750000001</v>
      </c>
      <c r="M10" s="9">
        <v>5581.9909250000001</v>
      </c>
      <c r="N10" s="9">
        <v>5474.5244750000002</v>
      </c>
      <c r="O10" s="21">
        <v>10598.4766</v>
      </c>
      <c r="P10" s="21">
        <v>295323.36589999998</v>
      </c>
      <c r="Q10" s="216" t="s">
        <v>181</v>
      </c>
    </row>
    <row r="11" spans="1:17" ht="25" customHeight="1" x14ac:dyDescent="0.35">
      <c r="A11" s="76" t="s">
        <v>499</v>
      </c>
      <c r="B11" s="8">
        <v>5.4050250000000002</v>
      </c>
      <c r="C11" s="8">
        <v>224.31469999999999</v>
      </c>
      <c r="D11" s="8">
        <v>331.10410000000002</v>
      </c>
      <c r="E11" s="8">
        <v>3196.8612499999999</v>
      </c>
      <c r="F11" s="53">
        <v>5434.751225</v>
      </c>
      <c r="G11" s="53">
        <v>4688.7902999999997</v>
      </c>
      <c r="H11" s="8">
        <v>3930.3629249999999</v>
      </c>
      <c r="I11" s="8">
        <v>2043.450225</v>
      </c>
      <c r="J11" s="8">
        <v>7208.4072249999999</v>
      </c>
      <c r="K11" s="8">
        <v>1404.87355</v>
      </c>
      <c r="L11" s="53">
        <v>45.169499999999999</v>
      </c>
      <c r="M11" s="8">
        <v>321.928225</v>
      </c>
      <c r="N11" s="8">
        <v>37.404975</v>
      </c>
      <c r="O11" s="20">
        <v>591.27210000000002</v>
      </c>
      <c r="P11" s="20">
        <v>29464.095324999998</v>
      </c>
      <c r="Q11" s="214" t="s">
        <v>181</v>
      </c>
    </row>
    <row r="12" spans="1:17" ht="25" customHeight="1" x14ac:dyDescent="0.35">
      <c r="A12" s="76" t="s">
        <v>182</v>
      </c>
      <c r="B12" s="8">
        <v>0</v>
      </c>
      <c r="C12" s="8" t="s">
        <v>406</v>
      </c>
      <c r="D12" s="8" t="s">
        <v>406</v>
      </c>
      <c r="E12" s="8" t="s">
        <v>406</v>
      </c>
      <c r="F12" s="53" t="s">
        <v>406</v>
      </c>
      <c r="G12" s="53">
        <v>22.141425000000002</v>
      </c>
      <c r="H12" s="8" t="s">
        <v>406</v>
      </c>
      <c r="I12" s="8" t="s">
        <v>406</v>
      </c>
      <c r="J12" s="8">
        <v>82.044375000000002</v>
      </c>
      <c r="K12" s="8" t="s">
        <v>406</v>
      </c>
      <c r="L12" s="53" t="s">
        <v>406</v>
      </c>
      <c r="M12" s="8" t="s">
        <v>406</v>
      </c>
      <c r="N12" s="8" t="s">
        <v>406</v>
      </c>
      <c r="O12" s="20">
        <v>38.744500000000002</v>
      </c>
      <c r="P12" s="20">
        <v>350.39179999999999</v>
      </c>
      <c r="Q12" s="214" t="s">
        <v>181</v>
      </c>
    </row>
    <row r="13" spans="1:17" ht="25" customHeight="1" x14ac:dyDescent="0.35">
      <c r="A13" s="173" t="s">
        <v>465</v>
      </c>
      <c r="B13" s="8">
        <v>0</v>
      </c>
      <c r="C13" s="8">
        <v>0</v>
      </c>
      <c r="D13" s="8">
        <v>0</v>
      </c>
      <c r="E13" s="8">
        <v>1348.3271500000001</v>
      </c>
      <c r="F13" s="53">
        <v>10357.226825</v>
      </c>
      <c r="G13" s="53">
        <v>7396.6965250000003</v>
      </c>
      <c r="H13" s="8">
        <v>1793.56095</v>
      </c>
      <c r="I13" s="8">
        <v>3687.4107250000002</v>
      </c>
      <c r="J13" s="8">
        <v>7546.149625</v>
      </c>
      <c r="K13" s="8">
        <v>220.81552500000001</v>
      </c>
      <c r="L13" s="53">
        <v>0</v>
      </c>
      <c r="M13" s="8" t="s">
        <v>406</v>
      </c>
      <c r="N13" s="8" t="s">
        <v>406</v>
      </c>
      <c r="O13" s="20">
        <v>410.72120000000001</v>
      </c>
      <c r="P13" s="20">
        <v>32776.717525</v>
      </c>
      <c r="Q13" s="214" t="s">
        <v>181</v>
      </c>
    </row>
    <row r="14" spans="1:17" ht="25" customHeight="1" x14ac:dyDescent="0.35">
      <c r="A14" s="76" t="s">
        <v>466</v>
      </c>
      <c r="B14" s="8">
        <v>8.844875</v>
      </c>
      <c r="C14" s="8">
        <v>24.804600000000001</v>
      </c>
      <c r="D14" s="8">
        <v>48.204549999999998</v>
      </c>
      <c r="E14" s="8">
        <v>1696.5608500000001</v>
      </c>
      <c r="F14" s="53">
        <v>6112.7386749999996</v>
      </c>
      <c r="G14" s="53">
        <v>14510.661725</v>
      </c>
      <c r="H14" s="8">
        <v>3674.1346749999998</v>
      </c>
      <c r="I14" s="8">
        <v>1435.6710499999999</v>
      </c>
      <c r="J14" s="8">
        <v>2000.5698500000001</v>
      </c>
      <c r="K14" s="8">
        <v>120.475875</v>
      </c>
      <c r="L14" s="53">
        <v>5.1835750000000003</v>
      </c>
      <c r="M14" s="8">
        <v>79.009225000000001</v>
      </c>
      <c r="N14" s="8">
        <v>317.80192499999998</v>
      </c>
      <c r="O14" s="20">
        <v>329.80624999999998</v>
      </c>
      <c r="P14" s="20">
        <v>30364.467700000001</v>
      </c>
      <c r="Q14" s="214" t="s">
        <v>181</v>
      </c>
    </row>
    <row r="15" spans="1:17" ht="25" customHeight="1" x14ac:dyDescent="0.35">
      <c r="A15" s="76" t="s">
        <v>500</v>
      </c>
      <c r="B15" s="8">
        <v>0</v>
      </c>
      <c r="C15" s="8">
        <v>0</v>
      </c>
      <c r="D15" s="8" t="s">
        <v>406</v>
      </c>
      <c r="E15" s="8">
        <v>69.788425650893998</v>
      </c>
      <c r="F15" s="53">
        <v>295.094481359209</v>
      </c>
      <c r="G15" s="53">
        <v>804.72602527000095</v>
      </c>
      <c r="H15" s="8">
        <v>621.19600000000003</v>
      </c>
      <c r="I15" s="8">
        <v>573.45550000000003</v>
      </c>
      <c r="J15" s="8">
        <v>502.18200000000002</v>
      </c>
      <c r="K15" s="8">
        <v>162.5395</v>
      </c>
      <c r="L15" s="53">
        <v>0</v>
      </c>
      <c r="M15" s="8" t="s">
        <v>406</v>
      </c>
      <c r="N15" s="8">
        <v>67.02</v>
      </c>
      <c r="O15" s="20">
        <v>232.03350076575799</v>
      </c>
      <c r="P15" s="20">
        <v>3369.30465307649</v>
      </c>
      <c r="Q15" s="214" t="s">
        <v>181</v>
      </c>
    </row>
    <row r="16" spans="1:17" ht="25" customHeight="1" x14ac:dyDescent="0.35">
      <c r="A16" s="76" t="s">
        <v>501</v>
      </c>
      <c r="B16" s="8">
        <v>101.740425</v>
      </c>
      <c r="C16" s="8">
        <v>796.27364999999998</v>
      </c>
      <c r="D16" s="8">
        <v>35.563504969369703</v>
      </c>
      <c r="E16" s="8">
        <v>1481.40044934911</v>
      </c>
      <c r="F16" s="53">
        <v>4060.5726186407901</v>
      </c>
      <c r="G16" s="53">
        <v>1717.43497473</v>
      </c>
      <c r="H16" s="8">
        <v>509.79919999999998</v>
      </c>
      <c r="I16" s="8">
        <v>585.14557500000001</v>
      </c>
      <c r="J16" s="8">
        <v>2272.084425</v>
      </c>
      <c r="K16" s="8">
        <v>222.73907500000001</v>
      </c>
      <c r="L16" s="53">
        <v>343.73854999999998</v>
      </c>
      <c r="M16" s="8">
        <v>441.282625</v>
      </c>
      <c r="N16" s="8">
        <v>618.96214999999995</v>
      </c>
      <c r="O16" s="20">
        <v>3853.8232492342399</v>
      </c>
      <c r="P16" s="20">
        <v>17040.560471923502</v>
      </c>
      <c r="Q16" s="214" t="s">
        <v>470</v>
      </c>
    </row>
    <row r="17" spans="1:17" ht="25" customHeight="1" x14ac:dyDescent="0.35">
      <c r="A17" s="76" t="s">
        <v>216</v>
      </c>
      <c r="B17" s="8">
        <v>5.8101000000000003</v>
      </c>
      <c r="C17" s="8">
        <v>16.217449999999999</v>
      </c>
      <c r="D17" s="8">
        <v>85.424674999999993</v>
      </c>
      <c r="E17" s="8">
        <v>414.03309999999999</v>
      </c>
      <c r="F17" s="53">
        <v>3187.7982750000001</v>
      </c>
      <c r="G17" s="53">
        <v>10078.1152</v>
      </c>
      <c r="H17" s="8">
        <v>3939.0879749999999</v>
      </c>
      <c r="I17" s="8">
        <v>2196.4599250000001</v>
      </c>
      <c r="J17" s="8">
        <v>2473.9151000000002</v>
      </c>
      <c r="K17" s="8">
        <v>94.739599999999996</v>
      </c>
      <c r="L17" s="53">
        <v>5.3093750000000002</v>
      </c>
      <c r="M17" s="8">
        <v>73.411325000000005</v>
      </c>
      <c r="N17" s="8">
        <v>69.336474999999993</v>
      </c>
      <c r="O17" s="20">
        <v>32.634475000000002</v>
      </c>
      <c r="P17" s="20">
        <v>22672.29305</v>
      </c>
      <c r="Q17" s="214" t="s">
        <v>181</v>
      </c>
    </row>
    <row r="18" spans="1:17" ht="25" customHeight="1" x14ac:dyDescent="0.35">
      <c r="A18" s="173" t="s">
        <v>471</v>
      </c>
      <c r="B18" s="8" t="s">
        <v>406</v>
      </c>
      <c r="C18" s="8">
        <v>1.2442594690558999</v>
      </c>
      <c r="D18" s="8">
        <v>15.6651812698085</v>
      </c>
      <c r="E18" s="8">
        <v>50.990068855368797</v>
      </c>
      <c r="F18" s="53" t="s">
        <v>406</v>
      </c>
      <c r="G18" s="53">
        <v>1377.9008239832001</v>
      </c>
      <c r="H18" s="8">
        <v>361.593930955833</v>
      </c>
      <c r="I18" s="8" t="s">
        <v>406</v>
      </c>
      <c r="J18" s="8">
        <v>21.240907492352498</v>
      </c>
      <c r="K18" s="8" t="s">
        <v>406</v>
      </c>
      <c r="L18" s="53">
        <v>7.1092007129524397</v>
      </c>
      <c r="M18" s="8">
        <v>23.753198740532401</v>
      </c>
      <c r="N18" s="8">
        <v>7.4075559021920796</v>
      </c>
      <c r="O18" s="20">
        <v>11.7643851434825</v>
      </c>
      <c r="P18" s="20">
        <v>2126.80502716519</v>
      </c>
      <c r="Q18" s="214" t="s">
        <v>181</v>
      </c>
    </row>
    <row r="19" spans="1:17" ht="25" customHeight="1" x14ac:dyDescent="0.35">
      <c r="A19" s="76" t="s">
        <v>472</v>
      </c>
      <c r="B19" s="8" t="s">
        <v>406</v>
      </c>
      <c r="C19" s="8" t="s">
        <v>406</v>
      </c>
      <c r="D19" s="8">
        <v>7.30755</v>
      </c>
      <c r="E19" s="8" t="s">
        <v>406</v>
      </c>
      <c r="F19" s="53">
        <v>925.41809999999998</v>
      </c>
      <c r="G19" s="53">
        <v>357.92675000000003</v>
      </c>
      <c r="H19" s="8" t="s">
        <v>406</v>
      </c>
      <c r="I19" s="8">
        <v>39.285074999999999</v>
      </c>
      <c r="J19" s="8">
        <v>12.291975000000001</v>
      </c>
      <c r="K19" s="8">
        <v>4.9149500000000002</v>
      </c>
      <c r="L19" s="53">
        <v>7.3808249999999997</v>
      </c>
      <c r="M19" s="8">
        <v>1.4311750000000001</v>
      </c>
      <c r="N19" s="8">
        <v>9.7049000000000003</v>
      </c>
      <c r="O19" s="20">
        <v>33.599175000000002</v>
      </c>
      <c r="P19" s="20">
        <v>1429.5611249999999</v>
      </c>
      <c r="Q19" s="214" t="s">
        <v>181</v>
      </c>
    </row>
    <row r="20" spans="1:17" ht="25" customHeight="1" x14ac:dyDescent="0.35">
      <c r="A20" s="76" t="s">
        <v>219</v>
      </c>
      <c r="B20" s="8">
        <v>13.610424999999999</v>
      </c>
      <c r="C20" s="8">
        <v>142.22880000000001</v>
      </c>
      <c r="D20" s="8">
        <v>65.662450000000007</v>
      </c>
      <c r="E20" s="8">
        <v>3688.5158499999998</v>
      </c>
      <c r="F20" s="53">
        <v>3367.0419000000002</v>
      </c>
      <c r="G20" s="53">
        <v>3647.21675</v>
      </c>
      <c r="H20" s="8">
        <v>1925.660875</v>
      </c>
      <c r="I20" s="8">
        <v>986.16742499999998</v>
      </c>
      <c r="J20" s="8">
        <v>2772.0080250000001</v>
      </c>
      <c r="K20" s="8">
        <v>246.87065000000001</v>
      </c>
      <c r="L20" s="53">
        <v>22.089175000000001</v>
      </c>
      <c r="M20" s="8">
        <v>271.18882500000001</v>
      </c>
      <c r="N20" s="8">
        <v>621.77440000000001</v>
      </c>
      <c r="O20" s="20">
        <v>729.05702499999995</v>
      </c>
      <c r="P20" s="20">
        <v>18499.092574999999</v>
      </c>
      <c r="Q20" s="214" t="s">
        <v>181</v>
      </c>
    </row>
    <row r="21" spans="1:17" ht="25" customHeight="1" x14ac:dyDescent="0.35">
      <c r="A21" s="76" t="s">
        <v>220</v>
      </c>
      <c r="B21" s="8">
        <v>21.472024999999999</v>
      </c>
      <c r="C21" s="8">
        <v>127.390275</v>
      </c>
      <c r="D21" s="8">
        <v>192.03219999999999</v>
      </c>
      <c r="E21" s="8">
        <v>1733.9094500000001</v>
      </c>
      <c r="F21" s="53">
        <v>10039.407225000001</v>
      </c>
      <c r="G21" s="53">
        <v>4890.9191000000001</v>
      </c>
      <c r="H21" s="8">
        <v>2124.8781749999998</v>
      </c>
      <c r="I21" s="8">
        <v>1351.7277999999999</v>
      </c>
      <c r="J21" s="8">
        <v>1078.4793</v>
      </c>
      <c r="K21" s="8">
        <v>663.73720000000003</v>
      </c>
      <c r="L21" s="53">
        <v>91.525899999999993</v>
      </c>
      <c r="M21" s="8">
        <v>677.04214999999999</v>
      </c>
      <c r="N21" s="8">
        <v>270.82490000000001</v>
      </c>
      <c r="O21" s="20">
        <v>478.82535000000001</v>
      </c>
      <c r="P21" s="20">
        <v>23742.171050000001</v>
      </c>
      <c r="Q21" s="214" t="s">
        <v>181</v>
      </c>
    </row>
    <row r="22" spans="1:17" ht="25" customHeight="1" x14ac:dyDescent="0.35">
      <c r="A22" s="76" t="s">
        <v>221</v>
      </c>
      <c r="B22" s="8">
        <v>39.622174999999999</v>
      </c>
      <c r="C22" s="8">
        <v>240.24997500000001</v>
      </c>
      <c r="D22" s="8">
        <v>279.71147500000001</v>
      </c>
      <c r="E22" s="8">
        <v>1094.5735</v>
      </c>
      <c r="F22" s="53">
        <v>1357.3723749999999</v>
      </c>
      <c r="G22" s="53">
        <v>514.56240000000003</v>
      </c>
      <c r="H22" s="8">
        <v>215.37025</v>
      </c>
      <c r="I22" s="8">
        <v>362.09775000000002</v>
      </c>
      <c r="J22" s="8">
        <v>245.05202499999999</v>
      </c>
      <c r="K22" s="8">
        <v>166.87520000000001</v>
      </c>
      <c r="L22" s="53">
        <v>213.996725</v>
      </c>
      <c r="M22" s="8">
        <v>462.55737499999998</v>
      </c>
      <c r="N22" s="8">
        <v>254.87459999999999</v>
      </c>
      <c r="O22" s="20">
        <v>298.44107500000001</v>
      </c>
      <c r="P22" s="20">
        <v>5745.3568999999998</v>
      </c>
      <c r="Q22" s="214" t="s">
        <v>181</v>
      </c>
    </row>
    <row r="23" spans="1:17" ht="25" customHeight="1" x14ac:dyDescent="0.4">
      <c r="A23" s="215" t="s">
        <v>223</v>
      </c>
      <c r="B23" s="9">
        <v>270.88874957004703</v>
      </c>
      <c r="C23" s="9">
        <v>5363.4467344690602</v>
      </c>
      <c r="D23" s="9">
        <v>1067.4608062698101</v>
      </c>
      <c r="E23" s="9">
        <v>42461.716343855398</v>
      </c>
      <c r="F23" s="54">
        <v>191092.27575674799</v>
      </c>
      <c r="G23" s="54">
        <v>126739.614123983</v>
      </c>
      <c r="H23" s="9">
        <v>51795.867555955803</v>
      </c>
      <c r="I23" s="9">
        <v>46142.911833713602</v>
      </c>
      <c r="J23" s="9">
        <v>71529.929157492399</v>
      </c>
      <c r="K23" s="9">
        <v>12793.505149609</v>
      </c>
      <c r="L23" s="54">
        <v>2419.1940007129501</v>
      </c>
      <c r="M23" s="9">
        <v>8959.2353987405295</v>
      </c>
      <c r="N23" s="9">
        <v>9322.3031309021899</v>
      </c>
      <c r="O23" s="21">
        <v>21201.8896351435</v>
      </c>
      <c r="P23" s="21">
        <v>591160.23837716505</v>
      </c>
      <c r="Q23" s="216" t="s">
        <v>181</v>
      </c>
    </row>
    <row r="24" spans="1:17" ht="25" customHeight="1" x14ac:dyDescent="0.35">
      <c r="A24" s="76" t="s">
        <v>224</v>
      </c>
      <c r="B24" s="8">
        <v>650.54082500000004</v>
      </c>
      <c r="C24" s="8">
        <v>6835.0316499999999</v>
      </c>
      <c r="D24" s="8">
        <v>540.30094999999994</v>
      </c>
      <c r="E24" s="8">
        <v>12281.8611</v>
      </c>
      <c r="F24" s="53">
        <v>42291.609324999998</v>
      </c>
      <c r="G24" s="53">
        <v>16508.465974999999</v>
      </c>
      <c r="H24" s="8">
        <v>6886.6219250000004</v>
      </c>
      <c r="I24" s="8">
        <v>5990.235025</v>
      </c>
      <c r="J24" s="8">
        <v>20073.408524999999</v>
      </c>
      <c r="K24" s="8">
        <v>4125.6991749999997</v>
      </c>
      <c r="L24" s="53">
        <v>2874.9414999999999</v>
      </c>
      <c r="M24" s="8">
        <v>6924.7497000000003</v>
      </c>
      <c r="N24" s="8">
        <v>6735.9562999999998</v>
      </c>
      <c r="O24" s="20">
        <v>22995.932499999999</v>
      </c>
      <c r="P24" s="20">
        <v>155715.354475</v>
      </c>
      <c r="Q24" s="214" t="s">
        <v>181</v>
      </c>
    </row>
    <row r="25" spans="1:17" ht="25" customHeight="1" x14ac:dyDescent="0.35">
      <c r="A25" s="76" t="s">
        <v>476</v>
      </c>
      <c r="B25" s="8">
        <v>29513.298624999999</v>
      </c>
      <c r="C25" s="8">
        <v>46326.691274999997</v>
      </c>
      <c r="D25" s="8">
        <v>22106.894525</v>
      </c>
      <c r="E25" s="8">
        <v>123387.95525</v>
      </c>
      <c r="F25" s="53">
        <v>152764.68492500001</v>
      </c>
      <c r="G25" s="53">
        <v>83915.205524999998</v>
      </c>
      <c r="H25" s="8">
        <v>26992.315299999998</v>
      </c>
      <c r="I25" s="8">
        <v>36648.981350000002</v>
      </c>
      <c r="J25" s="8">
        <v>113955.17077500001</v>
      </c>
      <c r="K25" s="8">
        <v>47175.885824999998</v>
      </c>
      <c r="L25" s="53">
        <v>61824.644274999999</v>
      </c>
      <c r="M25" s="8">
        <v>95619.732749999996</v>
      </c>
      <c r="N25" s="8">
        <v>107153.5546</v>
      </c>
      <c r="O25" s="20">
        <v>208646.43817499999</v>
      </c>
      <c r="P25" s="20">
        <v>1156031.4531749999</v>
      </c>
      <c r="Q25" s="214" t="s">
        <v>181</v>
      </c>
    </row>
    <row r="26" spans="1:17" ht="25" customHeight="1" x14ac:dyDescent="0.35">
      <c r="A26" s="76" t="s">
        <v>502</v>
      </c>
      <c r="B26" s="8">
        <v>43320.04</v>
      </c>
      <c r="C26" s="8">
        <v>24265.25</v>
      </c>
      <c r="D26" s="8">
        <v>29495.37</v>
      </c>
      <c r="E26" s="8">
        <v>1212045.9099999999</v>
      </c>
      <c r="F26" s="53">
        <v>207509.51</v>
      </c>
      <c r="G26" s="53">
        <v>299026.92</v>
      </c>
      <c r="H26" s="8">
        <v>2554.9299999999998</v>
      </c>
      <c r="I26" s="8">
        <v>26632.57</v>
      </c>
      <c r="J26" s="8">
        <v>129781.96</v>
      </c>
      <c r="K26" s="8">
        <v>101479.97</v>
      </c>
      <c r="L26" s="53">
        <v>312207.09000000003</v>
      </c>
      <c r="M26" s="8">
        <v>67898</v>
      </c>
      <c r="N26" s="8">
        <v>83695.839999999997</v>
      </c>
      <c r="O26" s="20">
        <v>141263</v>
      </c>
      <c r="P26" s="20">
        <v>2681176.36</v>
      </c>
      <c r="Q26" s="214" t="s">
        <v>181</v>
      </c>
    </row>
    <row r="27" spans="1:17" s="168" customFormat="1" ht="25" customHeight="1" x14ac:dyDescent="0.4">
      <c r="A27" s="217" t="s">
        <v>503</v>
      </c>
      <c r="B27" s="64">
        <v>73483.879449999993</v>
      </c>
      <c r="C27" s="64">
        <v>77426.972924999995</v>
      </c>
      <c r="D27" s="64">
        <v>52142.565475000003</v>
      </c>
      <c r="E27" s="64">
        <v>1347715.7263499999</v>
      </c>
      <c r="F27" s="65">
        <v>402565.80424999999</v>
      </c>
      <c r="G27" s="65">
        <v>399450.59149999998</v>
      </c>
      <c r="H27" s="64">
        <v>36433.867225000002</v>
      </c>
      <c r="I27" s="64">
        <v>69271.786374999996</v>
      </c>
      <c r="J27" s="64">
        <v>263810.5393</v>
      </c>
      <c r="K27" s="64">
        <v>152781.55499999999</v>
      </c>
      <c r="L27" s="65">
        <v>376906.67577500001</v>
      </c>
      <c r="M27" s="64">
        <v>170442.48245000001</v>
      </c>
      <c r="N27" s="64">
        <v>197585.35089999999</v>
      </c>
      <c r="O27" s="50">
        <v>372905.37067500001</v>
      </c>
      <c r="P27" s="50">
        <v>3992923.1676500002</v>
      </c>
      <c r="Q27" s="218" t="s">
        <v>181</v>
      </c>
    </row>
    <row r="28" spans="1:17" s="188" customFormat="1" ht="35.700000000000003" customHeight="1" x14ac:dyDescent="0.35">
      <c r="A28" s="219" t="s">
        <v>504</v>
      </c>
      <c r="B28" s="185">
        <v>73754.768199569997</v>
      </c>
      <c r="C28" s="185">
        <v>82790.419659469102</v>
      </c>
      <c r="D28" s="185">
        <v>53210.026281269798</v>
      </c>
      <c r="E28" s="185">
        <v>1390177.44269386</v>
      </c>
      <c r="F28" s="186">
        <v>593658.08000674797</v>
      </c>
      <c r="G28" s="186">
        <v>526190.20562398306</v>
      </c>
      <c r="H28" s="185">
        <v>88229.734780955798</v>
      </c>
      <c r="I28" s="185">
        <v>115414.69820871401</v>
      </c>
      <c r="J28" s="185">
        <v>335340.46845749201</v>
      </c>
      <c r="K28" s="185">
        <v>165575.06014960899</v>
      </c>
      <c r="L28" s="186">
        <v>379325.86977571301</v>
      </c>
      <c r="M28" s="185">
        <v>179401.71784874101</v>
      </c>
      <c r="N28" s="185">
        <v>206907.65403090199</v>
      </c>
      <c r="O28" s="187">
        <v>394107.260310143</v>
      </c>
      <c r="P28" s="187">
        <v>4584083.4060271699</v>
      </c>
      <c r="Q28" s="220" t="s">
        <v>479</v>
      </c>
    </row>
    <row r="29" spans="1:17" ht="25" customHeight="1" x14ac:dyDescent="0.35">
      <c r="A29" s="76" t="s">
        <v>480</v>
      </c>
      <c r="B29" s="8">
        <v>670.97</v>
      </c>
      <c r="C29" s="8">
        <v>398.34</v>
      </c>
      <c r="D29" s="8">
        <v>1339.02</v>
      </c>
      <c r="E29" s="8">
        <v>160729.23000000001</v>
      </c>
      <c r="F29" s="53">
        <v>56871.86</v>
      </c>
      <c r="G29" s="53">
        <v>47493.61</v>
      </c>
      <c r="H29" s="8">
        <v>5962.85</v>
      </c>
      <c r="I29" s="8">
        <v>12296.369999999999</v>
      </c>
      <c r="J29" s="8">
        <v>26626.87</v>
      </c>
      <c r="K29" s="8">
        <v>17166.04</v>
      </c>
      <c r="L29" s="53">
        <v>43902.799999999996</v>
      </c>
      <c r="M29" s="8">
        <v>13007.5</v>
      </c>
      <c r="N29" s="8">
        <v>13242.32</v>
      </c>
      <c r="O29" s="20">
        <v>40511.120000000003</v>
      </c>
      <c r="P29" s="20">
        <v>440218.9</v>
      </c>
      <c r="Q29" s="69" t="s">
        <v>230</v>
      </c>
    </row>
    <row r="30" spans="1:17" ht="25" customHeight="1" x14ac:dyDescent="0.4">
      <c r="A30" s="12" t="s">
        <v>231</v>
      </c>
      <c r="B30" s="9">
        <v>74425.738199569998</v>
      </c>
      <c r="C30" s="9">
        <v>83188.759659469113</v>
      </c>
      <c r="D30" s="9">
        <v>54549.046281269802</v>
      </c>
      <c r="E30" s="9">
        <v>1550906.67269386</v>
      </c>
      <c r="F30" s="54">
        <v>650529.94000674796</v>
      </c>
      <c r="G30" s="54">
        <v>573683.81562398304</v>
      </c>
      <c r="H30" s="9">
        <v>94192.584780955789</v>
      </c>
      <c r="I30" s="9">
        <v>127711.06820871402</v>
      </c>
      <c r="J30" s="9">
        <v>361967.33845749201</v>
      </c>
      <c r="K30" s="9">
        <v>182741.10014960897</v>
      </c>
      <c r="L30" s="54">
        <v>423228.66977571306</v>
      </c>
      <c r="M30" s="9">
        <v>192409.21784874101</v>
      </c>
      <c r="N30" s="9">
        <v>220149.97403090197</v>
      </c>
      <c r="O30" s="9">
        <v>434618.38031014299</v>
      </c>
      <c r="P30" s="54">
        <v>5024302.3060271693</v>
      </c>
      <c r="Q30" s="69"/>
    </row>
    <row r="31" spans="1:17" ht="25" customHeight="1" x14ac:dyDescent="0.35">
      <c r="A31" s="76" t="s">
        <v>232</v>
      </c>
      <c r="B31" s="8">
        <v>67034.78</v>
      </c>
      <c r="C31" s="8">
        <v>2110.71</v>
      </c>
      <c r="D31" s="8">
        <v>210785.38</v>
      </c>
      <c r="E31" s="8">
        <v>283559.24</v>
      </c>
      <c r="F31" s="53">
        <v>5013.3999999999996</v>
      </c>
      <c r="G31" s="53">
        <v>0</v>
      </c>
      <c r="H31" s="8">
        <v>0</v>
      </c>
      <c r="I31" s="8">
        <v>0</v>
      </c>
      <c r="J31" s="8">
        <v>0</v>
      </c>
      <c r="K31" s="8">
        <v>0</v>
      </c>
      <c r="L31" s="53">
        <v>8879.07</v>
      </c>
      <c r="M31" s="8">
        <v>157.80000000000001</v>
      </c>
      <c r="N31" s="8">
        <v>1180.3</v>
      </c>
      <c r="O31" s="20">
        <v>0</v>
      </c>
      <c r="P31" s="20">
        <v>578720.68000000005</v>
      </c>
      <c r="Q31" s="214" t="s">
        <v>181</v>
      </c>
    </row>
    <row r="32" spans="1:17" ht="25" customHeight="1" x14ac:dyDescent="0.4">
      <c r="A32" s="77" t="s">
        <v>522</v>
      </c>
      <c r="B32" s="78">
        <v>141460.51819957001</v>
      </c>
      <c r="C32" s="78">
        <v>85299.469659469105</v>
      </c>
      <c r="D32" s="78">
        <v>265334.42628126981</v>
      </c>
      <c r="E32" s="78">
        <v>1834465.91269386</v>
      </c>
      <c r="F32" s="221">
        <v>655543.34000674798</v>
      </c>
      <c r="G32" s="221">
        <v>573683.81562398304</v>
      </c>
      <c r="H32" s="78">
        <v>94192.584780955804</v>
      </c>
      <c r="I32" s="78">
        <v>127711.068208714</v>
      </c>
      <c r="J32" s="78">
        <v>361967.33845749201</v>
      </c>
      <c r="K32" s="78">
        <v>182741.100149609</v>
      </c>
      <c r="L32" s="221">
        <v>432107.73977571301</v>
      </c>
      <c r="M32" s="78">
        <v>192567.017848741</v>
      </c>
      <c r="N32" s="78">
        <v>221330.27403090199</v>
      </c>
      <c r="O32" s="79">
        <v>434618.38031014299</v>
      </c>
      <c r="P32" s="79">
        <v>5603022.98602717</v>
      </c>
      <c r="Q32" s="222" t="s">
        <v>523</v>
      </c>
    </row>
    <row r="33" spans="2:16" x14ac:dyDescent="0.35">
      <c r="B33" s="67"/>
      <c r="C33" s="67"/>
      <c r="D33" s="67"/>
      <c r="E33" s="67"/>
      <c r="F33" s="67"/>
      <c r="G33" s="67"/>
      <c r="H33" s="67"/>
      <c r="I33" s="67"/>
      <c r="J33" s="67"/>
      <c r="K33" s="67"/>
      <c r="L33" s="67"/>
      <c r="M33" s="67"/>
      <c r="N33" s="67"/>
      <c r="O33" s="67"/>
      <c r="P33" s="67"/>
    </row>
    <row r="34" spans="2:16" x14ac:dyDescent="0.35">
      <c r="B34" s="67"/>
      <c r="C34" s="67"/>
      <c r="D34" s="67"/>
      <c r="E34" s="67"/>
      <c r="F34" s="67"/>
      <c r="G34" s="67"/>
      <c r="H34" s="67"/>
      <c r="I34" s="67"/>
      <c r="J34" s="67"/>
      <c r="K34" s="67"/>
      <c r="L34" s="67"/>
      <c r="M34" s="67"/>
      <c r="N34" s="67"/>
      <c r="O34" s="67"/>
      <c r="P34" s="67"/>
    </row>
    <row r="35" spans="2:16" x14ac:dyDescent="0.35">
      <c r="B35" s="67"/>
      <c r="C35" s="67"/>
      <c r="D35" s="67"/>
      <c r="E35" s="67"/>
      <c r="F35" s="67"/>
      <c r="G35" s="67"/>
      <c r="H35" s="67"/>
      <c r="I35" s="67"/>
      <c r="J35" s="67"/>
      <c r="K35" s="67"/>
      <c r="L35" s="67"/>
      <c r="M35" s="67"/>
      <c r="N35" s="67"/>
      <c r="O35" s="67"/>
      <c r="P35" s="67"/>
    </row>
  </sheetData>
  <hyperlinks>
    <hyperlink ref="A5" r:id="rId1" xr:uid="{00000000-0004-0000-1200-000000000000}"/>
  </hyperlinks>
  <pageMargins left="0.7" right="0.7" top="0.75" bottom="0.75" header="0.3" footer="0.3"/>
  <pageSetup paperSize="9" orientation="portrait" horizontalDpi="300" verticalDpi="300"/>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42"/>
  <sheetViews>
    <sheetView showGridLines="0" zoomScaleNormal="100" workbookViewId="0"/>
  </sheetViews>
  <sheetFormatPr defaultColWidth="11.5625" defaultRowHeight="15" x14ac:dyDescent="0.35"/>
  <cols>
    <col min="1" max="1" width="50.6875" customWidth="1"/>
    <col min="2" max="16" width="15.5625" customWidth="1"/>
    <col min="17" max="17" width="30" style="6" customWidth="1"/>
  </cols>
  <sheetData>
    <row r="1" spans="1:17" ht="20.149999999999999" x14ac:dyDescent="0.5">
      <c r="A1" s="1" t="s">
        <v>524</v>
      </c>
    </row>
    <row r="2" spans="1:17" x14ac:dyDescent="0.35">
      <c r="A2" t="s">
        <v>34</v>
      </c>
    </row>
    <row r="3" spans="1:17" x14ac:dyDescent="0.35">
      <c r="A3" t="s">
        <v>160</v>
      </c>
    </row>
    <row r="4" spans="1:17" x14ac:dyDescent="0.35">
      <c r="A4" s="3" t="str">
        <f>HYPERLINK("#Notes!A1", "Link to Notes table")</f>
        <v>Link to Notes table</v>
      </c>
    </row>
    <row r="5" spans="1:17" x14ac:dyDescent="0.35">
      <c r="A5" s="3" t="s">
        <v>161</v>
      </c>
    </row>
    <row r="6" spans="1:17" ht="62.15" thickBot="1" x14ac:dyDescent="0.45">
      <c r="A6" s="60" t="s">
        <v>338</v>
      </c>
      <c r="B6" s="61" t="s">
        <v>484</v>
      </c>
      <c r="C6" s="61" t="s">
        <v>485</v>
      </c>
      <c r="D6" s="61" t="s">
        <v>486</v>
      </c>
      <c r="E6" s="61" t="s">
        <v>487</v>
      </c>
      <c r="F6" s="62" t="s">
        <v>488</v>
      </c>
      <c r="G6" s="62" t="s">
        <v>489</v>
      </c>
      <c r="H6" s="61" t="s">
        <v>490</v>
      </c>
      <c r="I6" s="61" t="s">
        <v>491</v>
      </c>
      <c r="J6" s="61" t="s">
        <v>492</v>
      </c>
      <c r="K6" s="62" t="s">
        <v>493</v>
      </c>
      <c r="L6" s="61" t="s">
        <v>494</v>
      </c>
      <c r="M6" s="61" t="s">
        <v>495</v>
      </c>
      <c r="N6" s="61" t="s">
        <v>496</v>
      </c>
      <c r="O6" s="63" t="s">
        <v>497</v>
      </c>
      <c r="P6" s="63" t="s">
        <v>498</v>
      </c>
      <c r="Q6" s="70" t="s">
        <v>179</v>
      </c>
    </row>
    <row r="7" spans="1:17" ht="25" customHeight="1" x14ac:dyDescent="0.35">
      <c r="A7" s="15" t="s">
        <v>525</v>
      </c>
      <c r="B7" s="8">
        <v>7</v>
      </c>
      <c r="C7" s="8">
        <v>12</v>
      </c>
      <c r="D7" s="8">
        <v>5</v>
      </c>
      <c r="E7" s="8">
        <v>25</v>
      </c>
      <c r="F7" s="53">
        <v>63</v>
      </c>
      <c r="G7" s="53">
        <v>22</v>
      </c>
      <c r="H7" s="8">
        <v>25</v>
      </c>
      <c r="I7" s="8">
        <v>20</v>
      </c>
      <c r="J7" s="8">
        <v>25</v>
      </c>
      <c r="K7" s="53">
        <v>36</v>
      </c>
      <c r="L7" s="8">
        <v>47</v>
      </c>
      <c r="M7" s="8">
        <v>115</v>
      </c>
      <c r="N7" s="8">
        <v>215</v>
      </c>
      <c r="O7" s="20">
        <v>355</v>
      </c>
      <c r="P7" s="20">
        <v>972</v>
      </c>
      <c r="Q7" s="71"/>
    </row>
    <row r="8" spans="1:17" ht="25" customHeight="1" x14ac:dyDescent="0.35">
      <c r="A8" s="15" t="s">
        <v>526</v>
      </c>
      <c r="B8" s="8">
        <v>17</v>
      </c>
      <c r="C8" s="8">
        <v>28</v>
      </c>
      <c r="D8" s="8">
        <v>6</v>
      </c>
      <c r="E8" s="8">
        <v>71</v>
      </c>
      <c r="F8" s="53">
        <v>120</v>
      </c>
      <c r="G8" s="53">
        <v>48</v>
      </c>
      <c r="H8" s="8">
        <v>35</v>
      </c>
      <c r="I8" s="8">
        <v>35</v>
      </c>
      <c r="J8" s="8">
        <v>34</v>
      </c>
      <c r="K8" s="53">
        <v>56</v>
      </c>
      <c r="L8" s="8">
        <v>70</v>
      </c>
      <c r="M8" s="8">
        <v>176</v>
      </c>
      <c r="N8" s="8">
        <v>258</v>
      </c>
      <c r="O8" s="20">
        <v>423</v>
      </c>
      <c r="P8" s="20">
        <v>1377</v>
      </c>
      <c r="Q8" s="71"/>
    </row>
    <row r="9" spans="1:17" ht="25" customHeight="1" x14ac:dyDescent="0.35">
      <c r="A9" s="15" t="s">
        <v>527</v>
      </c>
      <c r="B9" s="8">
        <v>6</v>
      </c>
      <c r="C9" s="8">
        <v>15</v>
      </c>
      <c r="D9" s="8">
        <v>0</v>
      </c>
      <c r="E9" s="8">
        <v>30</v>
      </c>
      <c r="F9" s="53">
        <v>55</v>
      </c>
      <c r="G9" s="53">
        <v>24</v>
      </c>
      <c r="H9" s="8">
        <v>26</v>
      </c>
      <c r="I9" s="8">
        <v>25</v>
      </c>
      <c r="J9" s="8">
        <v>26</v>
      </c>
      <c r="K9" s="53">
        <v>41</v>
      </c>
      <c r="L9" s="8">
        <v>48</v>
      </c>
      <c r="M9" s="8">
        <v>124</v>
      </c>
      <c r="N9" s="8">
        <v>239</v>
      </c>
      <c r="O9" s="20">
        <v>363</v>
      </c>
      <c r="P9" s="20">
        <v>1022</v>
      </c>
      <c r="Q9" s="71"/>
    </row>
    <row r="10" spans="1:17" ht="25" customHeight="1" x14ac:dyDescent="0.4">
      <c r="A10" s="16" t="s">
        <v>287</v>
      </c>
      <c r="B10" s="9">
        <v>21</v>
      </c>
      <c r="C10" s="9">
        <v>30</v>
      </c>
      <c r="D10" s="9">
        <v>8</v>
      </c>
      <c r="E10" s="9">
        <v>87</v>
      </c>
      <c r="F10" s="54">
        <v>159</v>
      </c>
      <c r="G10" s="54">
        <v>55</v>
      </c>
      <c r="H10" s="9">
        <v>45</v>
      </c>
      <c r="I10" s="9">
        <v>41</v>
      </c>
      <c r="J10" s="9">
        <v>50</v>
      </c>
      <c r="K10" s="54">
        <v>61</v>
      </c>
      <c r="L10" s="9">
        <v>76</v>
      </c>
      <c r="M10" s="9">
        <v>191</v>
      </c>
      <c r="N10" s="9">
        <v>282</v>
      </c>
      <c r="O10" s="21">
        <v>473</v>
      </c>
      <c r="P10" s="21">
        <v>1579</v>
      </c>
      <c r="Q10" s="72"/>
    </row>
    <row r="11" spans="1:17" ht="25" customHeight="1" x14ac:dyDescent="0.35">
      <c r="A11" s="15" t="s">
        <v>528</v>
      </c>
      <c r="B11" s="8">
        <v>84</v>
      </c>
      <c r="C11" s="8">
        <v>406</v>
      </c>
      <c r="D11" s="8">
        <v>136</v>
      </c>
      <c r="E11" s="8">
        <v>959</v>
      </c>
      <c r="F11" s="53">
        <v>1297</v>
      </c>
      <c r="G11" s="53">
        <v>467</v>
      </c>
      <c r="H11" s="8">
        <v>193</v>
      </c>
      <c r="I11" s="8">
        <v>169</v>
      </c>
      <c r="J11" s="8">
        <v>459</v>
      </c>
      <c r="K11" s="53">
        <v>226</v>
      </c>
      <c r="L11" s="8">
        <v>374</v>
      </c>
      <c r="M11" s="8">
        <v>559</v>
      </c>
      <c r="N11" s="8">
        <v>625</v>
      </c>
      <c r="O11" s="20">
        <v>1083</v>
      </c>
      <c r="P11" s="20">
        <v>7037</v>
      </c>
      <c r="Q11" s="71"/>
    </row>
    <row r="12" spans="1:17" ht="25" customHeight="1" x14ac:dyDescent="0.35">
      <c r="A12" s="15" t="s">
        <v>529</v>
      </c>
      <c r="B12" s="8">
        <v>119</v>
      </c>
      <c r="C12" s="8">
        <v>427</v>
      </c>
      <c r="D12" s="8">
        <v>294</v>
      </c>
      <c r="E12" s="8">
        <v>1360</v>
      </c>
      <c r="F12" s="53">
        <v>1260</v>
      </c>
      <c r="G12" s="53">
        <v>503</v>
      </c>
      <c r="H12" s="8">
        <v>187</v>
      </c>
      <c r="I12" s="8">
        <v>176</v>
      </c>
      <c r="J12" s="8">
        <v>464</v>
      </c>
      <c r="K12" s="53">
        <v>266</v>
      </c>
      <c r="L12" s="8">
        <v>501</v>
      </c>
      <c r="M12" s="8">
        <v>568</v>
      </c>
      <c r="N12" s="8">
        <v>561</v>
      </c>
      <c r="O12" s="20">
        <v>1024</v>
      </c>
      <c r="P12" s="20">
        <v>7710</v>
      </c>
      <c r="Q12" s="71"/>
    </row>
    <row r="13" spans="1:17" ht="25" customHeight="1" x14ac:dyDescent="0.35">
      <c r="A13" s="15" t="s">
        <v>530</v>
      </c>
      <c r="B13" s="8">
        <v>62</v>
      </c>
      <c r="C13" s="8">
        <v>356</v>
      </c>
      <c r="D13" s="8">
        <v>156</v>
      </c>
      <c r="E13" s="8">
        <v>985</v>
      </c>
      <c r="F13" s="53">
        <v>1191</v>
      </c>
      <c r="G13" s="53">
        <v>437</v>
      </c>
      <c r="H13" s="8">
        <v>182</v>
      </c>
      <c r="I13" s="8">
        <v>163</v>
      </c>
      <c r="J13" s="8">
        <v>417</v>
      </c>
      <c r="K13" s="53">
        <v>221</v>
      </c>
      <c r="L13" s="8">
        <v>383</v>
      </c>
      <c r="M13" s="8">
        <v>516</v>
      </c>
      <c r="N13" s="8">
        <v>578</v>
      </c>
      <c r="O13" s="20">
        <v>955</v>
      </c>
      <c r="P13" s="20">
        <v>6602</v>
      </c>
      <c r="Q13" s="71"/>
    </row>
    <row r="14" spans="1:17" ht="25" customHeight="1" x14ac:dyDescent="0.4">
      <c r="A14" s="16" t="s">
        <v>291</v>
      </c>
      <c r="B14" s="9">
        <v>125</v>
      </c>
      <c r="C14" s="9">
        <v>462</v>
      </c>
      <c r="D14" s="9">
        <v>320</v>
      </c>
      <c r="E14" s="9">
        <v>1498</v>
      </c>
      <c r="F14" s="54">
        <v>1576</v>
      </c>
      <c r="G14" s="54">
        <v>574</v>
      </c>
      <c r="H14" s="9">
        <v>230</v>
      </c>
      <c r="I14" s="9">
        <v>205</v>
      </c>
      <c r="J14" s="9">
        <v>527</v>
      </c>
      <c r="K14" s="54">
        <v>303</v>
      </c>
      <c r="L14" s="9">
        <v>533</v>
      </c>
      <c r="M14" s="9">
        <v>681</v>
      </c>
      <c r="N14" s="9">
        <v>731</v>
      </c>
      <c r="O14" s="21">
        <v>1260</v>
      </c>
      <c r="P14" s="21">
        <v>9025</v>
      </c>
      <c r="Q14" s="72"/>
    </row>
    <row r="15" spans="1:17" ht="25" customHeight="1" x14ac:dyDescent="0.35">
      <c r="A15" s="15" t="s">
        <v>531</v>
      </c>
      <c r="B15" s="8">
        <v>58</v>
      </c>
      <c r="C15" s="8">
        <v>379</v>
      </c>
      <c r="D15" s="8">
        <v>75</v>
      </c>
      <c r="E15" s="8">
        <v>715</v>
      </c>
      <c r="F15" s="53">
        <v>1287</v>
      </c>
      <c r="G15" s="53">
        <v>433</v>
      </c>
      <c r="H15" s="8">
        <v>187</v>
      </c>
      <c r="I15" s="8">
        <v>155</v>
      </c>
      <c r="J15" s="8">
        <v>398</v>
      </c>
      <c r="K15" s="53">
        <v>205</v>
      </c>
      <c r="L15" s="8">
        <v>267</v>
      </c>
      <c r="M15" s="8">
        <v>517</v>
      </c>
      <c r="N15" s="8">
        <v>595</v>
      </c>
      <c r="O15" s="20">
        <v>999</v>
      </c>
      <c r="P15" s="20">
        <v>6270</v>
      </c>
      <c r="Q15" s="71"/>
    </row>
    <row r="16" spans="1:17" ht="25" customHeight="1" x14ac:dyDescent="0.35">
      <c r="A16" s="15" t="s">
        <v>532</v>
      </c>
      <c r="B16" s="8">
        <v>99</v>
      </c>
      <c r="C16" s="8">
        <v>379</v>
      </c>
      <c r="D16" s="8">
        <v>123</v>
      </c>
      <c r="E16" s="8">
        <v>948</v>
      </c>
      <c r="F16" s="53">
        <v>1331</v>
      </c>
      <c r="G16" s="53">
        <v>499</v>
      </c>
      <c r="H16" s="8">
        <v>201</v>
      </c>
      <c r="I16" s="8">
        <v>179</v>
      </c>
      <c r="J16" s="8">
        <v>450</v>
      </c>
      <c r="K16" s="53">
        <v>253</v>
      </c>
      <c r="L16" s="8">
        <v>402</v>
      </c>
      <c r="M16" s="8">
        <v>554</v>
      </c>
      <c r="N16" s="8">
        <v>618</v>
      </c>
      <c r="O16" s="20">
        <v>1110</v>
      </c>
      <c r="P16" s="20">
        <v>7146</v>
      </c>
      <c r="Q16" s="71"/>
    </row>
    <row r="17" spans="1:17" ht="25" customHeight="1" x14ac:dyDescent="0.4">
      <c r="A17" s="16" t="s">
        <v>294</v>
      </c>
      <c r="B17" s="9">
        <v>123</v>
      </c>
      <c r="C17" s="9">
        <v>426</v>
      </c>
      <c r="D17" s="9">
        <v>157</v>
      </c>
      <c r="E17" s="9">
        <v>1120</v>
      </c>
      <c r="F17" s="54">
        <v>1556</v>
      </c>
      <c r="G17" s="54">
        <v>554</v>
      </c>
      <c r="H17" s="9">
        <v>227</v>
      </c>
      <c r="I17" s="9">
        <v>199</v>
      </c>
      <c r="J17" s="9">
        <v>491</v>
      </c>
      <c r="K17" s="54">
        <v>286</v>
      </c>
      <c r="L17" s="9">
        <v>440</v>
      </c>
      <c r="M17" s="9">
        <v>640</v>
      </c>
      <c r="N17" s="9">
        <v>700</v>
      </c>
      <c r="O17" s="21">
        <v>1236</v>
      </c>
      <c r="P17" s="21">
        <v>8155</v>
      </c>
      <c r="Q17" s="72"/>
    </row>
    <row r="18" spans="1:17" ht="25" customHeight="1" x14ac:dyDescent="0.35">
      <c r="A18" s="15" t="s">
        <v>533</v>
      </c>
      <c r="B18" s="8">
        <v>6</v>
      </c>
      <c r="C18" s="8">
        <v>13</v>
      </c>
      <c r="D18" s="8">
        <v>0</v>
      </c>
      <c r="E18" s="8">
        <v>20</v>
      </c>
      <c r="F18" s="53">
        <v>35</v>
      </c>
      <c r="G18" s="53">
        <v>17</v>
      </c>
      <c r="H18" s="8">
        <v>23</v>
      </c>
      <c r="I18" s="8">
        <v>21</v>
      </c>
      <c r="J18" s="8">
        <v>20</v>
      </c>
      <c r="K18" s="53">
        <v>33</v>
      </c>
      <c r="L18" s="8">
        <v>48</v>
      </c>
      <c r="M18" s="8">
        <v>104</v>
      </c>
      <c r="N18" s="8">
        <v>208</v>
      </c>
      <c r="O18" s="20">
        <v>328</v>
      </c>
      <c r="P18" s="20">
        <v>876</v>
      </c>
      <c r="Q18" s="71"/>
    </row>
    <row r="19" spans="1:17" ht="25" customHeight="1" x14ac:dyDescent="0.35">
      <c r="A19" s="15" t="s">
        <v>534</v>
      </c>
      <c r="B19" s="8">
        <v>99</v>
      </c>
      <c r="C19" s="8">
        <v>408</v>
      </c>
      <c r="D19" s="8">
        <v>216</v>
      </c>
      <c r="E19" s="8">
        <v>1135</v>
      </c>
      <c r="F19" s="53">
        <v>1290</v>
      </c>
      <c r="G19" s="53">
        <v>481</v>
      </c>
      <c r="H19" s="8">
        <v>192</v>
      </c>
      <c r="I19" s="8">
        <v>181</v>
      </c>
      <c r="J19" s="8">
        <v>482</v>
      </c>
      <c r="K19" s="53">
        <v>246</v>
      </c>
      <c r="L19" s="8">
        <v>472</v>
      </c>
      <c r="M19" s="8">
        <v>602</v>
      </c>
      <c r="N19" s="8">
        <v>665</v>
      </c>
      <c r="O19" s="20">
        <v>1168</v>
      </c>
      <c r="P19" s="20">
        <v>7637</v>
      </c>
      <c r="Q19" s="71"/>
    </row>
    <row r="20" spans="1:17" ht="25" customHeight="1" x14ac:dyDescent="0.35">
      <c r="A20" s="15" t="s">
        <v>535</v>
      </c>
      <c r="B20" s="8">
        <v>104</v>
      </c>
      <c r="C20" s="8">
        <v>414</v>
      </c>
      <c r="D20" s="8">
        <v>217</v>
      </c>
      <c r="E20" s="8">
        <v>1157</v>
      </c>
      <c r="F20" s="53">
        <v>1387</v>
      </c>
      <c r="G20" s="53">
        <v>500</v>
      </c>
      <c r="H20" s="8">
        <v>202</v>
      </c>
      <c r="I20" s="8">
        <v>180</v>
      </c>
      <c r="J20" s="8">
        <v>480</v>
      </c>
      <c r="K20" s="53">
        <v>262</v>
      </c>
      <c r="L20" s="8">
        <v>465</v>
      </c>
      <c r="M20" s="8">
        <v>609</v>
      </c>
      <c r="N20" s="8">
        <v>690</v>
      </c>
      <c r="O20" s="20">
        <v>1197</v>
      </c>
      <c r="P20" s="20">
        <v>7864</v>
      </c>
      <c r="Q20" s="71" t="s">
        <v>181</v>
      </c>
    </row>
    <row r="21" spans="1:17" ht="25" customHeight="1" x14ac:dyDescent="0.4">
      <c r="A21" s="16" t="s">
        <v>298</v>
      </c>
      <c r="B21" s="9">
        <v>114</v>
      </c>
      <c r="C21" s="9">
        <v>426</v>
      </c>
      <c r="D21" s="9">
        <v>253</v>
      </c>
      <c r="E21" s="9">
        <v>1252</v>
      </c>
      <c r="F21" s="54">
        <v>1472</v>
      </c>
      <c r="G21" s="54">
        <v>516</v>
      </c>
      <c r="H21" s="9">
        <v>208</v>
      </c>
      <c r="I21" s="9">
        <v>192</v>
      </c>
      <c r="J21" s="9">
        <v>499</v>
      </c>
      <c r="K21" s="54">
        <v>272</v>
      </c>
      <c r="L21" s="9">
        <v>489</v>
      </c>
      <c r="M21" s="9">
        <v>639</v>
      </c>
      <c r="N21" s="9">
        <v>714</v>
      </c>
      <c r="O21" s="21">
        <v>1244</v>
      </c>
      <c r="P21" s="21">
        <v>8290</v>
      </c>
      <c r="Q21" s="72" t="s">
        <v>181</v>
      </c>
    </row>
    <row r="22" spans="1:17" ht="25" customHeight="1" x14ac:dyDescent="0.4">
      <c r="A22" s="16" t="s">
        <v>299</v>
      </c>
      <c r="B22" s="9">
        <v>137</v>
      </c>
      <c r="C22" s="9">
        <v>477</v>
      </c>
      <c r="D22" s="9">
        <v>332</v>
      </c>
      <c r="E22" s="9">
        <v>1576</v>
      </c>
      <c r="F22" s="54">
        <v>1800</v>
      </c>
      <c r="G22" s="54">
        <v>629</v>
      </c>
      <c r="H22" s="9">
        <v>252</v>
      </c>
      <c r="I22" s="9">
        <v>228</v>
      </c>
      <c r="J22" s="9">
        <v>562</v>
      </c>
      <c r="K22" s="54">
        <v>338</v>
      </c>
      <c r="L22" s="9">
        <v>558</v>
      </c>
      <c r="M22" s="9">
        <v>749</v>
      </c>
      <c r="N22" s="9">
        <v>807</v>
      </c>
      <c r="O22" s="21">
        <v>1414</v>
      </c>
      <c r="P22" s="21">
        <v>9859</v>
      </c>
      <c r="Q22" s="72" t="s">
        <v>181</v>
      </c>
    </row>
    <row r="23" spans="1:17" ht="25" customHeight="1" x14ac:dyDescent="0.35">
      <c r="A23" s="15" t="s">
        <v>536</v>
      </c>
      <c r="B23" s="8">
        <v>1149</v>
      </c>
      <c r="C23" s="8">
        <v>510</v>
      </c>
      <c r="D23" s="8">
        <v>2224</v>
      </c>
      <c r="E23" s="8">
        <v>3032</v>
      </c>
      <c r="F23" s="53">
        <v>1693</v>
      </c>
      <c r="G23" s="53">
        <v>730</v>
      </c>
      <c r="H23" s="8">
        <v>222</v>
      </c>
      <c r="I23" s="8">
        <v>299</v>
      </c>
      <c r="J23" s="8">
        <v>872</v>
      </c>
      <c r="K23" s="53">
        <v>370</v>
      </c>
      <c r="L23" s="8">
        <v>802</v>
      </c>
      <c r="M23" s="8">
        <v>746</v>
      </c>
      <c r="N23" s="8">
        <v>671</v>
      </c>
      <c r="O23" s="20">
        <v>1334</v>
      </c>
      <c r="P23" s="20">
        <v>14654</v>
      </c>
      <c r="Q23" s="71" t="s">
        <v>181</v>
      </c>
    </row>
    <row r="24" spans="1:17" ht="25" customHeight="1" x14ac:dyDescent="0.35">
      <c r="A24" s="15" t="s">
        <v>537</v>
      </c>
      <c r="B24" s="8">
        <v>766</v>
      </c>
      <c r="C24" s="8">
        <v>351</v>
      </c>
      <c r="D24" s="8">
        <v>1403</v>
      </c>
      <c r="E24" s="8">
        <v>2186</v>
      </c>
      <c r="F24" s="53">
        <v>1020</v>
      </c>
      <c r="G24" s="53">
        <v>509</v>
      </c>
      <c r="H24" s="8">
        <v>156</v>
      </c>
      <c r="I24" s="8">
        <v>200</v>
      </c>
      <c r="J24" s="8">
        <v>629</v>
      </c>
      <c r="K24" s="53">
        <v>225</v>
      </c>
      <c r="L24" s="8">
        <v>543</v>
      </c>
      <c r="M24" s="8">
        <v>490</v>
      </c>
      <c r="N24" s="8">
        <v>453</v>
      </c>
      <c r="O24" s="20">
        <v>895</v>
      </c>
      <c r="P24" s="20">
        <v>9826</v>
      </c>
      <c r="Q24" s="71" t="s">
        <v>181</v>
      </c>
    </row>
    <row r="25" spans="1:17" ht="25" customHeight="1" x14ac:dyDescent="0.35">
      <c r="A25" s="15" t="s">
        <v>538</v>
      </c>
      <c r="B25" s="8">
        <v>831</v>
      </c>
      <c r="C25" s="8">
        <v>408</v>
      </c>
      <c r="D25" s="8">
        <v>1369</v>
      </c>
      <c r="E25" s="8">
        <v>1967</v>
      </c>
      <c r="F25" s="53">
        <v>1276</v>
      </c>
      <c r="G25" s="53">
        <v>575</v>
      </c>
      <c r="H25" s="8">
        <v>168</v>
      </c>
      <c r="I25" s="8">
        <v>232</v>
      </c>
      <c r="J25" s="8">
        <v>699</v>
      </c>
      <c r="K25" s="53">
        <v>277</v>
      </c>
      <c r="L25" s="8">
        <v>636</v>
      </c>
      <c r="M25" s="8">
        <v>581</v>
      </c>
      <c r="N25" s="8">
        <v>519</v>
      </c>
      <c r="O25" s="20">
        <v>1061</v>
      </c>
      <c r="P25" s="20">
        <v>10599</v>
      </c>
      <c r="Q25" s="71" t="s">
        <v>181</v>
      </c>
    </row>
    <row r="26" spans="1:17" ht="25" customHeight="1" x14ac:dyDescent="0.35">
      <c r="A26" s="15" t="s">
        <v>307</v>
      </c>
      <c r="B26" s="8">
        <v>1115</v>
      </c>
      <c r="C26" s="8">
        <v>538</v>
      </c>
      <c r="D26" s="8">
        <v>2092</v>
      </c>
      <c r="E26" s="8">
        <v>2978</v>
      </c>
      <c r="F26" s="53">
        <v>1784</v>
      </c>
      <c r="G26" s="53">
        <v>744</v>
      </c>
      <c r="H26" s="8">
        <v>238</v>
      </c>
      <c r="I26" s="8">
        <v>317</v>
      </c>
      <c r="J26" s="8">
        <v>894</v>
      </c>
      <c r="K26" s="53">
        <v>381</v>
      </c>
      <c r="L26" s="8">
        <v>791</v>
      </c>
      <c r="M26" s="8">
        <v>749</v>
      </c>
      <c r="N26" s="8">
        <v>687</v>
      </c>
      <c r="O26" s="20">
        <v>1356</v>
      </c>
      <c r="P26" s="20">
        <v>14664</v>
      </c>
      <c r="Q26" s="71" t="s">
        <v>181</v>
      </c>
    </row>
    <row r="27" spans="1:17" ht="25" customHeight="1" x14ac:dyDescent="0.35">
      <c r="A27" s="15" t="s">
        <v>539</v>
      </c>
      <c r="B27" s="8">
        <v>823</v>
      </c>
      <c r="C27" s="8">
        <v>359</v>
      </c>
      <c r="D27" s="8">
        <v>1467</v>
      </c>
      <c r="E27" s="8">
        <v>2121</v>
      </c>
      <c r="F27" s="53">
        <v>1162</v>
      </c>
      <c r="G27" s="53">
        <v>481</v>
      </c>
      <c r="H27" s="8">
        <v>166</v>
      </c>
      <c r="I27" s="8">
        <v>214</v>
      </c>
      <c r="J27" s="8">
        <v>528</v>
      </c>
      <c r="K27" s="53">
        <v>223</v>
      </c>
      <c r="L27" s="8">
        <v>546</v>
      </c>
      <c r="M27" s="8">
        <v>452</v>
      </c>
      <c r="N27" s="8">
        <v>413</v>
      </c>
      <c r="O27" s="20">
        <v>832</v>
      </c>
      <c r="P27" s="20">
        <v>9787</v>
      </c>
      <c r="Q27" s="71" t="s">
        <v>181</v>
      </c>
    </row>
    <row r="28" spans="1:17" ht="25" customHeight="1" x14ac:dyDescent="0.4">
      <c r="A28" s="16" t="s">
        <v>308</v>
      </c>
      <c r="B28" s="9">
        <v>1276</v>
      </c>
      <c r="C28" s="9">
        <v>624</v>
      </c>
      <c r="D28" s="9">
        <v>2608</v>
      </c>
      <c r="E28" s="9">
        <v>3741</v>
      </c>
      <c r="F28" s="54">
        <v>2274</v>
      </c>
      <c r="G28" s="54">
        <v>930</v>
      </c>
      <c r="H28" s="9">
        <v>332</v>
      </c>
      <c r="I28" s="9">
        <v>399</v>
      </c>
      <c r="J28" s="9">
        <v>1058</v>
      </c>
      <c r="K28" s="54">
        <v>454</v>
      </c>
      <c r="L28" s="9">
        <v>928</v>
      </c>
      <c r="M28" s="9">
        <v>919</v>
      </c>
      <c r="N28" s="9">
        <v>829</v>
      </c>
      <c r="O28" s="21">
        <v>1618</v>
      </c>
      <c r="P28" s="21">
        <v>17990</v>
      </c>
      <c r="Q28" s="72" t="s">
        <v>181</v>
      </c>
    </row>
    <row r="29" spans="1:17" ht="25" customHeight="1" x14ac:dyDescent="0.35">
      <c r="A29" s="15" t="s">
        <v>540</v>
      </c>
      <c r="B29" s="8">
        <v>14</v>
      </c>
      <c r="C29" s="8">
        <v>12</v>
      </c>
      <c r="D29" s="8">
        <v>25</v>
      </c>
      <c r="E29" s="8">
        <v>119</v>
      </c>
      <c r="F29" s="53">
        <v>126</v>
      </c>
      <c r="G29" s="53">
        <v>33</v>
      </c>
      <c r="H29" s="8">
        <v>14</v>
      </c>
      <c r="I29" s="8">
        <v>28</v>
      </c>
      <c r="J29" s="8">
        <v>43</v>
      </c>
      <c r="K29" s="53">
        <v>18</v>
      </c>
      <c r="L29" s="8">
        <v>22</v>
      </c>
      <c r="M29" s="8">
        <v>22</v>
      </c>
      <c r="N29" s="8">
        <v>23</v>
      </c>
      <c r="O29" s="20">
        <v>56</v>
      </c>
      <c r="P29" s="20">
        <v>555</v>
      </c>
      <c r="Q29" s="71" t="s">
        <v>541</v>
      </c>
    </row>
    <row r="30" spans="1:17" ht="25" customHeight="1" x14ac:dyDescent="0.35">
      <c r="A30" s="15" t="s">
        <v>542</v>
      </c>
      <c r="B30" s="8">
        <v>23</v>
      </c>
      <c r="C30" s="8">
        <v>52</v>
      </c>
      <c r="D30" s="8">
        <v>52</v>
      </c>
      <c r="E30" s="8">
        <v>322</v>
      </c>
      <c r="F30" s="53">
        <v>323</v>
      </c>
      <c r="G30" s="53">
        <v>97</v>
      </c>
      <c r="H30" s="8">
        <v>38</v>
      </c>
      <c r="I30" s="8">
        <v>70</v>
      </c>
      <c r="J30" s="8">
        <v>111</v>
      </c>
      <c r="K30" s="53">
        <v>52</v>
      </c>
      <c r="L30" s="8">
        <v>59</v>
      </c>
      <c r="M30" s="8">
        <v>80</v>
      </c>
      <c r="N30" s="8">
        <v>70</v>
      </c>
      <c r="O30" s="20">
        <v>122</v>
      </c>
      <c r="P30" s="20">
        <v>1471</v>
      </c>
      <c r="Q30" s="71" t="s">
        <v>181</v>
      </c>
    </row>
    <row r="31" spans="1:17" ht="25" customHeight="1" x14ac:dyDescent="0.4">
      <c r="A31" s="16" t="s">
        <v>324</v>
      </c>
      <c r="B31" s="9">
        <v>29</v>
      </c>
      <c r="C31" s="9">
        <v>55</v>
      </c>
      <c r="D31" s="9">
        <v>60</v>
      </c>
      <c r="E31" s="9">
        <v>354</v>
      </c>
      <c r="F31" s="54">
        <v>340</v>
      </c>
      <c r="G31" s="54">
        <v>102</v>
      </c>
      <c r="H31" s="9">
        <v>44</v>
      </c>
      <c r="I31" s="9">
        <v>74</v>
      </c>
      <c r="J31" s="9">
        <v>121</v>
      </c>
      <c r="K31" s="54">
        <v>54</v>
      </c>
      <c r="L31" s="9">
        <v>68</v>
      </c>
      <c r="M31" s="9">
        <v>86</v>
      </c>
      <c r="N31" s="9">
        <v>78</v>
      </c>
      <c r="O31" s="21">
        <v>138</v>
      </c>
      <c r="P31" s="21">
        <v>1603</v>
      </c>
      <c r="Q31" s="72" t="s">
        <v>181</v>
      </c>
    </row>
    <row r="32" spans="1:17" ht="25" customHeight="1" x14ac:dyDescent="0.35">
      <c r="A32" s="15" t="s">
        <v>543</v>
      </c>
      <c r="B32" s="8">
        <v>218</v>
      </c>
      <c r="C32" s="8">
        <v>295</v>
      </c>
      <c r="D32" s="8">
        <v>453</v>
      </c>
      <c r="E32" s="8">
        <v>1318</v>
      </c>
      <c r="F32" s="53">
        <v>1056</v>
      </c>
      <c r="G32" s="53">
        <v>435</v>
      </c>
      <c r="H32" s="8">
        <v>203</v>
      </c>
      <c r="I32" s="8">
        <v>177</v>
      </c>
      <c r="J32" s="8">
        <v>354</v>
      </c>
      <c r="K32" s="53">
        <v>174</v>
      </c>
      <c r="L32" s="8">
        <v>273</v>
      </c>
      <c r="M32" s="8">
        <v>325</v>
      </c>
      <c r="N32" s="8">
        <v>273</v>
      </c>
      <c r="O32" s="20">
        <v>525</v>
      </c>
      <c r="P32" s="20">
        <v>6079</v>
      </c>
      <c r="Q32" s="71"/>
    </row>
    <row r="33" spans="1:17" ht="25" customHeight="1" x14ac:dyDescent="0.35">
      <c r="A33" s="15" t="s">
        <v>544</v>
      </c>
      <c r="B33" s="8">
        <v>72</v>
      </c>
      <c r="C33" s="8">
        <v>136</v>
      </c>
      <c r="D33" s="8">
        <v>146</v>
      </c>
      <c r="E33" s="8">
        <v>447</v>
      </c>
      <c r="F33" s="53">
        <v>385</v>
      </c>
      <c r="G33" s="53">
        <v>140</v>
      </c>
      <c r="H33" s="8">
        <v>66</v>
      </c>
      <c r="I33" s="8">
        <v>69</v>
      </c>
      <c r="J33" s="8">
        <v>114</v>
      </c>
      <c r="K33" s="53">
        <v>71</v>
      </c>
      <c r="L33" s="8">
        <v>79</v>
      </c>
      <c r="M33" s="8">
        <v>120</v>
      </c>
      <c r="N33" s="8">
        <v>102</v>
      </c>
      <c r="O33" s="20">
        <v>194</v>
      </c>
      <c r="P33" s="20">
        <v>2141</v>
      </c>
      <c r="Q33" s="71" t="s">
        <v>545</v>
      </c>
    </row>
    <row r="34" spans="1:17" ht="25" customHeight="1" x14ac:dyDescent="0.35">
      <c r="A34" s="15" t="s">
        <v>546</v>
      </c>
      <c r="B34" s="8">
        <v>102</v>
      </c>
      <c r="C34" s="8">
        <v>165</v>
      </c>
      <c r="D34" s="8">
        <v>145</v>
      </c>
      <c r="E34" s="8">
        <v>556</v>
      </c>
      <c r="F34" s="53">
        <v>534</v>
      </c>
      <c r="G34" s="53">
        <v>185</v>
      </c>
      <c r="H34" s="8">
        <v>101</v>
      </c>
      <c r="I34" s="8">
        <v>95</v>
      </c>
      <c r="J34" s="8">
        <v>159</v>
      </c>
      <c r="K34" s="53">
        <v>90</v>
      </c>
      <c r="L34" s="8">
        <v>107</v>
      </c>
      <c r="M34" s="8">
        <v>170</v>
      </c>
      <c r="N34" s="8">
        <v>142</v>
      </c>
      <c r="O34" s="20">
        <v>261</v>
      </c>
      <c r="P34" s="20">
        <v>2812</v>
      </c>
      <c r="Q34" s="71"/>
    </row>
    <row r="35" spans="1:17" ht="25" customHeight="1" x14ac:dyDescent="0.4">
      <c r="A35" s="16" t="s">
        <v>336</v>
      </c>
      <c r="B35" s="9">
        <v>247</v>
      </c>
      <c r="C35" s="9">
        <v>332</v>
      </c>
      <c r="D35" s="9">
        <v>489</v>
      </c>
      <c r="E35" s="9">
        <v>1432</v>
      </c>
      <c r="F35" s="54">
        <v>1200</v>
      </c>
      <c r="G35" s="54">
        <v>502</v>
      </c>
      <c r="H35" s="9">
        <v>234</v>
      </c>
      <c r="I35" s="9">
        <v>224</v>
      </c>
      <c r="J35" s="9">
        <v>408</v>
      </c>
      <c r="K35" s="54">
        <v>200</v>
      </c>
      <c r="L35" s="9">
        <v>301</v>
      </c>
      <c r="M35" s="9">
        <v>393</v>
      </c>
      <c r="N35" s="9">
        <v>313</v>
      </c>
      <c r="O35" s="21">
        <v>614</v>
      </c>
      <c r="P35" s="21">
        <v>6889</v>
      </c>
      <c r="Q35" s="72"/>
    </row>
    <row r="36" spans="1:17" ht="25" customHeight="1" x14ac:dyDescent="0.4">
      <c r="A36" s="16" t="s">
        <v>547</v>
      </c>
      <c r="B36" s="9">
        <v>27</v>
      </c>
      <c r="C36" s="9">
        <v>50</v>
      </c>
      <c r="D36" s="9">
        <v>21</v>
      </c>
      <c r="E36" s="9">
        <v>219</v>
      </c>
      <c r="F36" s="54">
        <v>255</v>
      </c>
      <c r="G36" s="54">
        <v>137</v>
      </c>
      <c r="H36" s="9">
        <v>48</v>
      </c>
      <c r="I36" s="9">
        <v>58</v>
      </c>
      <c r="J36" s="9">
        <v>81</v>
      </c>
      <c r="K36" s="54">
        <v>38</v>
      </c>
      <c r="L36" s="9">
        <v>72</v>
      </c>
      <c r="M36" s="9">
        <v>107</v>
      </c>
      <c r="N36" s="9">
        <v>96</v>
      </c>
      <c r="O36" s="21">
        <v>137</v>
      </c>
      <c r="P36" s="21">
        <v>1346</v>
      </c>
      <c r="Q36" s="72" t="s">
        <v>181</v>
      </c>
    </row>
    <row r="37" spans="1:17" ht="25" customHeight="1" x14ac:dyDescent="0.4">
      <c r="A37" s="16" t="s">
        <v>339</v>
      </c>
      <c r="B37" s="9">
        <v>0</v>
      </c>
      <c r="C37" s="9" t="s">
        <v>406</v>
      </c>
      <c r="D37" s="9" t="s">
        <v>406</v>
      </c>
      <c r="E37" s="9">
        <v>38</v>
      </c>
      <c r="F37" s="54">
        <v>22</v>
      </c>
      <c r="G37" s="54">
        <v>24</v>
      </c>
      <c r="H37" s="9">
        <v>6</v>
      </c>
      <c r="I37" s="9">
        <v>7</v>
      </c>
      <c r="J37" s="9">
        <v>8</v>
      </c>
      <c r="K37" s="54">
        <v>10</v>
      </c>
      <c r="L37" s="9">
        <v>9</v>
      </c>
      <c r="M37" s="9">
        <v>6</v>
      </c>
      <c r="N37" s="9">
        <v>7</v>
      </c>
      <c r="O37" s="21">
        <v>11</v>
      </c>
      <c r="P37" s="21">
        <v>152</v>
      </c>
      <c r="Q37" s="71"/>
    </row>
    <row r="38" spans="1:17" ht="25" customHeight="1" x14ac:dyDescent="0.4">
      <c r="A38" s="16" t="s">
        <v>340</v>
      </c>
      <c r="B38" s="9">
        <v>204</v>
      </c>
      <c r="C38" s="9">
        <v>213</v>
      </c>
      <c r="D38" s="9">
        <v>181</v>
      </c>
      <c r="E38" s="9">
        <v>951</v>
      </c>
      <c r="F38" s="54">
        <v>1488</v>
      </c>
      <c r="G38" s="54">
        <v>656</v>
      </c>
      <c r="H38" s="9">
        <v>327</v>
      </c>
      <c r="I38" s="9">
        <v>347</v>
      </c>
      <c r="J38" s="9">
        <v>634</v>
      </c>
      <c r="K38" s="54">
        <v>291</v>
      </c>
      <c r="L38" s="9">
        <v>207</v>
      </c>
      <c r="M38" s="9">
        <v>592</v>
      </c>
      <c r="N38" s="9">
        <v>538</v>
      </c>
      <c r="O38" s="21">
        <v>836</v>
      </c>
      <c r="P38" s="21">
        <v>7465</v>
      </c>
      <c r="Q38" s="71" t="s">
        <v>181</v>
      </c>
    </row>
    <row r="39" spans="1:17" ht="25" customHeight="1" x14ac:dyDescent="0.4">
      <c r="A39" s="16" t="s">
        <v>342</v>
      </c>
      <c r="B39" s="9">
        <v>0</v>
      </c>
      <c r="C39" s="9" t="s">
        <v>406</v>
      </c>
      <c r="D39" s="9" t="s">
        <v>406</v>
      </c>
      <c r="E39" s="9">
        <v>55</v>
      </c>
      <c r="F39" s="54">
        <v>107</v>
      </c>
      <c r="G39" s="54">
        <v>51</v>
      </c>
      <c r="H39" s="9">
        <v>23</v>
      </c>
      <c r="I39" s="9">
        <v>21</v>
      </c>
      <c r="J39" s="9">
        <v>25</v>
      </c>
      <c r="K39" s="54">
        <v>20</v>
      </c>
      <c r="L39" s="9">
        <v>25</v>
      </c>
      <c r="M39" s="9">
        <v>32</v>
      </c>
      <c r="N39" s="9">
        <v>50</v>
      </c>
      <c r="O39" s="21">
        <v>69</v>
      </c>
      <c r="P39" s="21">
        <v>487</v>
      </c>
      <c r="Q39" s="71"/>
    </row>
    <row r="40" spans="1:17" ht="25" customHeight="1" x14ac:dyDescent="0.4">
      <c r="A40" s="16" t="s">
        <v>344</v>
      </c>
      <c r="B40" s="9" t="s">
        <v>406</v>
      </c>
      <c r="C40" s="9" t="s">
        <v>406</v>
      </c>
      <c r="D40" s="9">
        <v>0</v>
      </c>
      <c r="E40" s="9">
        <v>39</v>
      </c>
      <c r="F40" s="54">
        <v>65</v>
      </c>
      <c r="G40" s="54">
        <v>34</v>
      </c>
      <c r="H40" s="9">
        <v>20</v>
      </c>
      <c r="I40" s="9">
        <v>22</v>
      </c>
      <c r="J40" s="9">
        <v>26</v>
      </c>
      <c r="K40" s="54">
        <v>13</v>
      </c>
      <c r="L40" s="9">
        <v>11</v>
      </c>
      <c r="M40" s="9">
        <v>32</v>
      </c>
      <c r="N40" s="9">
        <v>25</v>
      </c>
      <c r="O40" s="21">
        <v>30</v>
      </c>
      <c r="P40" s="21">
        <v>323</v>
      </c>
      <c r="Q40" s="71"/>
    </row>
    <row r="41" spans="1:17" ht="25" customHeight="1" x14ac:dyDescent="0.4">
      <c r="A41" s="16" t="s">
        <v>345</v>
      </c>
      <c r="B41" s="9">
        <v>0</v>
      </c>
      <c r="C41" s="9">
        <v>10</v>
      </c>
      <c r="D41" s="9">
        <v>24</v>
      </c>
      <c r="E41" s="9">
        <v>245</v>
      </c>
      <c r="F41" s="54">
        <v>166</v>
      </c>
      <c r="G41" s="54">
        <v>101</v>
      </c>
      <c r="H41" s="9">
        <v>39</v>
      </c>
      <c r="I41" s="9">
        <v>57</v>
      </c>
      <c r="J41" s="9">
        <v>66</v>
      </c>
      <c r="K41" s="54">
        <v>31</v>
      </c>
      <c r="L41" s="9">
        <v>47</v>
      </c>
      <c r="M41" s="9">
        <v>50</v>
      </c>
      <c r="N41" s="9">
        <v>44</v>
      </c>
      <c r="O41" s="21">
        <v>88</v>
      </c>
      <c r="P41" s="21">
        <v>968</v>
      </c>
      <c r="Q41" s="71"/>
    </row>
    <row r="42" spans="1:17" ht="25" customHeight="1" x14ac:dyDescent="0.4">
      <c r="A42" s="16" t="s">
        <v>548</v>
      </c>
      <c r="B42" s="212">
        <v>1706</v>
      </c>
      <c r="C42" s="64">
        <v>1736</v>
      </c>
      <c r="D42" s="64">
        <v>5237</v>
      </c>
      <c r="E42" s="64">
        <v>9161</v>
      </c>
      <c r="F42" s="65">
        <v>8475</v>
      </c>
      <c r="G42" s="65">
        <v>3569</v>
      </c>
      <c r="H42" s="64">
        <v>1444</v>
      </c>
      <c r="I42" s="64">
        <v>1463</v>
      </c>
      <c r="J42" s="64">
        <v>2543</v>
      </c>
      <c r="K42" s="65">
        <v>1507</v>
      </c>
      <c r="L42" s="64">
        <v>1846</v>
      </c>
      <c r="M42" s="64">
        <v>2982</v>
      </c>
      <c r="N42" s="64">
        <v>2711</v>
      </c>
      <c r="O42" s="50">
        <v>3950</v>
      </c>
      <c r="P42" s="50">
        <v>48330</v>
      </c>
      <c r="Q42" s="72" t="s">
        <v>181</v>
      </c>
    </row>
  </sheetData>
  <hyperlinks>
    <hyperlink ref="A5" r:id="rId1" xr:uid="{00000000-0004-0000-1300-000000000000}"/>
  </hyperlinks>
  <pageMargins left="0.7" right="0.7" top="0.75" bottom="0.75" header="0.3" footer="0.3"/>
  <pageSetup paperSize="9" orientation="portrait" horizontalDpi="300" verticalDpi="300"/>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42"/>
  <sheetViews>
    <sheetView showGridLines="0" zoomScaleNormal="100" workbookViewId="0"/>
  </sheetViews>
  <sheetFormatPr defaultColWidth="11.5625" defaultRowHeight="15" x14ac:dyDescent="0.35"/>
  <cols>
    <col min="1" max="1" width="50.6875" customWidth="1"/>
    <col min="2" max="16" width="15.5625" customWidth="1"/>
    <col min="17" max="17" width="31.875" style="6" customWidth="1"/>
  </cols>
  <sheetData>
    <row r="1" spans="1:17" ht="20.149999999999999" x14ac:dyDescent="0.5">
      <c r="A1" s="1" t="s">
        <v>549</v>
      </c>
    </row>
    <row r="2" spans="1:17" x14ac:dyDescent="0.35">
      <c r="A2" t="s">
        <v>34</v>
      </c>
    </row>
    <row r="3" spans="1:17" x14ac:dyDescent="0.35">
      <c r="A3" t="s">
        <v>160</v>
      </c>
    </row>
    <row r="4" spans="1:17" x14ac:dyDescent="0.35">
      <c r="A4" s="3" t="str">
        <f>HYPERLINK("#Notes!A1", "Link to Notes table")</f>
        <v>Link to Notes table</v>
      </c>
    </row>
    <row r="5" spans="1:17" x14ac:dyDescent="0.35">
      <c r="A5" s="3" t="s">
        <v>161</v>
      </c>
    </row>
    <row r="6" spans="1:17" ht="62.15" thickBot="1" x14ac:dyDescent="0.45">
      <c r="A6" s="60" t="s">
        <v>338</v>
      </c>
      <c r="B6" s="61" t="s">
        <v>550</v>
      </c>
      <c r="C6" s="61" t="s">
        <v>551</v>
      </c>
      <c r="D6" s="61" t="s">
        <v>552</v>
      </c>
      <c r="E6" s="61" t="s">
        <v>553</v>
      </c>
      <c r="F6" s="62" t="s">
        <v>554</v>
      </c>
      <c r="G6" s="62" t="s">
        <v>555</v>
      </c>
      <c r="H6" s="61" t="s">
        <v>556</v>
      </c>
      <c r="I6" s="61" t="s">
        <v>557</v>
      </c>
      <c r="J6" s="61" t="s">
        <v>558</v>
      </c>
      <c r="K6" s="62" t="s">
        <v>559</v>
      </c>
      <c r="L6" s="61" t="s">
        <v>560</v>
      </c>
      <c r="M6" s="61" t="s">
        <v>561</v>
      </c>
      <c r="N6" s="61" t="s">
        <v>562</v>
      </c>
      <c r="O6" s="63" t="s">
        <v>563</v>
      </c>
      <c r="P6" s="63" t="s">
        <v>564</v>
      </c>
      <c r="Q6" s="61" t="s">
        <v>179</v>
      </c>
    </row>
    <row r="7" spans="1:17" ht="25" customHeight="1" x14ac:dyDescent="0.35">
      <c r="A7" s="15" t="s">
        <v>525</v>
      </c>
      <c r="B7" s="8">
        <v>59</v>
      </c>
      <c r="C7" s="8">
        <v>353</v>
      </c>
      <c r="D7" s="8">
        <v>5</v>
      </c>
      <c r="E7" s="8">
        <v>390</v>
      </c>
      <c r="F7" s="53">
        <v>1430</v>
      </c>
      <c r="G7" s="53">
        <v>909</v>
      </c>
      <c r="H7" s="8">
        <v>1293</v>
      </c>
      <c r="I7" s="8">
        <v>600</v>
      </c>
      <c r="J7" s="8">
        <v>2846</v>
      </c>
      <c r="K7" s="53">
        <v>2695</v>
      </c>
      <c r="L7" s="8">
        <v>1805</v>
      </c>
      <c r="M7" s="8">
        <v>6400</v>
      </c>
      <c r="N7" s="8">
        <v>12279</v>
      </c>
      <c r="O7" s="20">
        <v>32214</v>
      </c>
      <c r="P7" s="20">
        <v>63278</v>
      </c>
      <c r="Q7" s="24"/>
    </row>
    <row r="8" spans="1:17" ht="25" customHeight="1" x14ac:dyDescent="0.35">
      <c r="A8" s="15" t="s">
        <v>526</v>
      </c>
      <c r="B8" s="8">
        <v>212</v>
      </c>
      <c r="C8" s="8">
        <v>1716</v>
      </c>
      <c r="D8" s="8">
        <v>7</v>
      </c>
      <c r="E8" s="8">
        <v>1071</v>
      </c>
      <c r="F8" s="53">
        <v>4535</v>
      </c>
      <c r="G8" s="53">
        <v>2810</v>
      </c>
      <c r="H8" s="8">
        <v>3385</v>
      </c>
      <c r="I8" s="8">
        <v>2219</v>
      </c>
      <c r="J8" s="8">
        <v>6503</v>
      </c>
      <c r="K8" s="53">
        <v>6799</v>
      </c>
      <c r="L8" s="8">
        <v>5907</v>
      </c>
      <c r="M8" s="8">
        <v>17806</v>
      </c>
      <c r="N8" s="8">
        <v>37061</v>
      </c>
      <c r="O8" s="20">
        <v>92166</v>
      </c>
      <c r="P8" s="20">
        <v>182197</v>
      </c>
      <c r="Q8" s="24"/>
    </row>
    <row r="9" spans="1:17" ht="25" customHeight="1" x14ac:dyDescent="0.35">
      <c r="A9" s="15" t="s">
        <v>527</v>
      </c>
      <c r="B9" s="8">
        <v>42</v>
      </c>
      <c r="C9" s="8">
        <v>175</v>
      </c>
      <c r="D9" s="8">
        <v>0</v>
      </c>
      <c r="E9" s="8">
        <v>311</v>
      </c>
      <c r="F9" s="53">
        <v>762</v>
      </c>
      <c r="G9" s="53">
        <v>321</v>
      </c>
      <c r="H9" s="8">
        <v>630</v>
      </c>
      <c r="I9" s="8">
        <v>299</v>
      </c>
      <c r="J9" s="8">
        <v>451</v>
      </c>
      <c r="K9" s="53">
        <v>735</v>
      </c>
      <c r="L9" s="8">
        <v>982</v>
      </c>
      <c r="M9" s="8">
        <v>2585</v>
      </c>
      <c r="N9" s="8">
        <v>5961</v>
      </c>
      <c r="O9" s="20">
        <v>10219</v>
      </c>
      <c r="P9" s="20">
        <v>23473</v>
      </c>
      <c r="Q9" s="24"/>
    </row>
    <row r="10" spans="1:17" ht="25" customHeight="1" x14ac:dyDescent="0.4">
      <c r="A10" s="16" t="s">
        <v>287</v>
      </c>
      <c r="B10" s="9">
        <v>313</v>
      </c>
      <c r="C10" s="9">
        <v>2244</v>
      </c>
      <c r="D10" s="9">
        <v>12</v>
      </c>
      <c r="E10" s="9">
        <v>1772</v>
      </c>
      <c r="F10" s="54">
        <v>6727</v>
      </c>
      <c r="G10" s="54">
        <v>4040</v>
      </c>
      <c r="H10" s="9">
        <v>5308</v>
      </c>
      <c r="I10" s="9">
        <v>3118</v>
      </c>
      <c r="J10" s="9">
        <v>9800</v>
      </c>
      <c r="K10" s="54">
        <v>10229</v>
      </c>
      <c r="L10" s="9">
        <v>8694</v>
      </c>
      <c r="M10" s="9">
        <v>26791</v>
      </c>
      <c r="N10" s="9">
        <v>55301</v>
      </c>
      <c r="O10" s="21">
        <v>134599</v>
      </c>
      <c r="P10" s="21">
        <v>268948</v>
      </c>
      <c r="Q10" s="4"/>
    </row>
    <row r="11" spans="1:17" ht="25" customHeight="1" x14ac:dyDescent="0.35">
      <c r="A11" s="15" t="s">
        <v>528</v>
      </c>
      <c r="B11" s="8">
        <v>336</v>
      </c>
      <c r="C11" s="8">
        <v>9570</v>
      </c>
      <c r="D11" s="8">
        <v>353</v>
      </c>
      <c r="E11" s="8">
        <v>11367</v>
      </c>
      <c r="F11" s="53">
        <v>55344</v>
      </c>
      <c r="G11" s="53">
        <v>11113</v>
      </c>
      <c r="H11" s="8">
        <v>6480</v>
      </c>
      <c r="I11" s="8">
        <v>5916</v>
      </c>
      <c r="J11" s="8">
        <v>18089</v>
      </c>
      <c r="K11" s="53">
        <v>4769</v>
      </c>
      <c r="L11" s="8">
        <v>4561</v>
      </c>
      <c r="M11" s="8">
        <v>12618</v>
      </c>
      <c r="N11" s="8">
        <v>15379</v>
      </c>
      <c r="O11" s="20">
        <v>33792</v>
      </c>
      <c r="P11" s="20">
        <v>189687</v>
      </c>
      <c r="Q11" s="24"/>
    </row>
    <row r="12" spans="1:17" ht="25" customHeight="1" x14ac:dyDescent="0.35">
      <c r="A12" s="15" t="s">
        <v>529</v>
      </c>
      <c r="B12" s="8">
        <v>1509</v>
      </c>
      <c r="C12" s="8">
        <v>24271</v>
      </c>
      <c r="D12" s="8">
        <v>2237</v>
      </c>
      <c r="E12" s="8">
        <v>39538</v>
      </c>
      <c r="F12" s="53">
        <v>71674</v>
      </c>
      <c r="G12" s="53">
        <v>29100</v>
      </c>
      <c r="H12" s="8">
        <v>10765</v>
      </c>
      <c r="I12" s="8">
        <v>11570</v>
      </c>
      <c r="J12" s="8">
        <v>39708</v>
      </c>
      <c r="K12" s="53">
        <v>10340</v>
      </c>
      <c r="L12" s="8">
        <v>17022</v>
      </c>
      <c r="M12" s="8">
        <v>25350</v>
      </c>
      <c r="N12" s="8">
        <v>25784</v>
      </c>
      <c r="O12" s="20">
        <v>64082</v>
      </c>
      <c r="P12" s="20">
        <v>372950</v>
      </c>
      <c r="Q12" s="24"/>
    </row>
    <row r="13" spans="1:17" ht="25" customHeight="1" x14ac:dyDescent="0.35">
      <c r="A13" s="15" t="s">
        <v>530</v>
      </c>
      <c r="B13" s="8">
        <v>199</v>
      </c>
      <c r="C13" s="8">
        <v>2906</v>
      </c>
      <c r="D13" s="8">
        <v>402</v>
      </c>
      <c r="E13" s="8">
        <v>5635</v>
      </c>
      <c r="F13" s="53">
        <v>18113</v>
      </c>
      <c r="G13" s="53">
        <v>5059</v>
      </c>
      <c r="H13" s="8">
        <v>2016</v>
      </c>
      <c r="I13" s="8">
        <v>1968</v>
      </c>
      <c r="J13" s="8">
        <v>5017</v>
      </c>
      <c r="K13" s="53">
        <v>2103</v>
      </c>
      <c r="L13" s="8">
        <v>3078</v>
      </c>
      <c r="M13" s="8">
        <v>5223</v>
      </c>
      <c r="N13" s="8">
        <v>5810</v>
      </c>
      <c r="O13" s="20">
        <v>12346</v>
      </c>
      <c r="P13" s="20">
        <v>69875</v>
      </c>
      <c r="Q13" s="24"/>
    </row>
    <row r="14" spans="1:17" ht="25" customHeight="1" x14ac:dyDescent="0.4">
      <c r="A14" s="16" t="s">
        <v>291</v>
      </c>
      <c r="B14" s="9">
        <v>2044</v>
      </c>
      <c r="C14" s="9">
        <v>36747</v>
      </c>
      <c r="D14" s="9">
        <v>2992</v>
      </c>
      <c r="E14" s="9">
        <v>56540</v>
      </c>
      <c r="F14" s="54">
        <v>145131</v>
      </c>
      <c r="G14" s="54">
        <v>45272</v>
      </c>
      <c r="H14" s="9">
        <v>19261</v>
      </c>
      <c r="I14" s="9">
        <v>19454</v>
      </c>
      <c r="J14" s="9">
        <v>62814</v>
      </c>
      <c r="K14" s="54">
        <v>17212</v>
      </c>
      <c r="L14" s="9">
        <v>24661</v>
      </c>
      <c r="M14" s="9">
        <v>43191</v>
      </c>
      <c r="N14" s="9">
        <v>46973</v>
      </c>
      <c r="O14" s="21">
        <v>110220</v>
      </c>
      <c r="P14" s="21">
        <v>632512</v>
      </c>
      <c r="Q14" s="4"/>
    </row>
    <row r="15" spans="1:17" ht="25" customHeight="1" x14ac:dyDescent="0.35">
      <c r="A15" s="15" t="s">
        <v>531</v>
      </c>
      <c r="B15" s="8">
        <v>200</v>
      </c>
      <c r="C15" s="8">
        <v>7462</v>
      </c>
      <c r="D15" s="8">
        <v>174</v>
      </c>
      <c r="E15" s="8">
        <v>8347</v>
      </c>
      <c r="F15" s="53">
        <v>59138</v>
      </c>
      <c r="G15" s="53">
        <v>10155</v>
      </c>
      <c r="H15" s="8">
        <v>8970</v>
      </c>
      <c r="I15" s="8">
        <v>5518</v>
      </c>
      <c r="J15" s="8">
        <v>15417</v>
      </c>
      <c r="K15" s="53">
        <v>4716</v>
      </c>
      <c r="L15" s="8">
        <v>2706</v>
      </c>
      <c r="M15" s="8">
        <v>12508</v>
      </c>
      <c r="N15" s="8">
        <v>14810</v>
      </c>
      <c r="O15" s="20">
        <v>32256</v>
      </c>
      <c r="P15" s="20">
        <v>182377</v>
      </c>
      <c r="Q15" s="24"/>
    </row>
    <row r="16" spans="1:17" ht="25" customHeight="1" x14ac:dyDescent="0.35">
      <c r="A16" s="15" t="s">
        <v>532</v>
      </c>
      <c r="B16" s="8">
        <v>167</v>
      </c>
      <c r="C16" s="8">
        <v>1800</v>
      </c>
      <c r="D16" s="8">
        <v>205</v>
      </c>
      <c r="E16" s="8">
        <v>3252</v>
      </c>
      <c r="F16" s="53">
        <v>14789</v>
      </c>
      <c r="G16" s="53">
        <v>3366</v>
      </c>
      <c r="H16" s="8">
        <v>2672</v>
      </c>
      <c r="I16" s="8">
        <v>1434</v>
      </c>
      <c r="J16" s="8">
        <v>3609</v>
      </c>
      <c r="K16" s="53">
        <v>1824</v>
      </c>
      <c r="L16" s="8">
        <v>1517</v>
      </c>
      <c r="M16" s="8">
        <v>4072</v>
      </c>
      <c r="N16" s="8">
        <v>4917</v>
      </c>
      <c r="O16" s="20">
        <v>10105</v>
      </c>
      <c r="P16" s="20">
        <v>53729</v>
      </c>
      <c r="Q16" s="24"/>
    </row>
    <row r="17" spans="1:17" ht="25" customHeight="1" x14ac:dyDescent="0.4">
      <c r="A17" s="16" t="s">
        <v>294</v>
      </c>
      <c r="B17" s="9">
        <v>367</v>
      </c>
      <c r="C17" s="9">
        <v>9262</v>
      </c>
      <c r="D17" s="9">
        <v>379</v>
      </c>
      <c r="E17" s="9">
        <v>11599</v>
      </c>
      <c r="F17" s="54">
        <v>73927</v>
      </c>
      <c r="G17" s="54">
        <v>13521</v>
      </c>
      <c r="H17" s="9">
        <v>11642</v>
      </c>
      <c r="I17" s="9">
        <v>6952</v>
      </c>
      <c r="J17" s="9">
        <v>19026</v>
      </c>
      <c r="K17" s="54">
        <v>6540</v>
      </c>
      <c r="L17" s="9">
        <v>4223</v>
      </c>
      <c r="M17" s="9">
        <v>16580</v>
      </c>
      <c r="N17" s="9">
        <v>19727</v>
      </c>
      <c r="O17" s="21">
        <v>42361</v>
      </c>
      <c r="P17" s="21">
        <v>236106</v>
      </c>
      <c r="Q17" s="4"/>
    </row>
    <row r="18" spans="1:17" ht="25" customHeight="1" x14ac:dyDescent="0.35">
      <c r="A18" s="15" t="s">
        <v>533</v>
      </c>
      <c r="B18" s="8">
        <v>37</v>
      </c>
      <c r="C18" s="8">
        <v>411</v>
      </c>
      <c r="D18" s="8">
        <v>0</v>
      </c>
      <c r="E18" s="8">
        <v>504</v>
      </c>
      <c r="F18" s="53">
        <v>1514</v>
      </c>
      <c r="G18" s="53">
        <v>998</v>
      </c>
      <c r="H18" s="8">
        <v>1346</v>
      </c>
      <c r="I18" s="8">
        <v>735</v>
      </c>
      <c r="J18" s="8">
        <v>2895</v>
      </c>
      <c r="K18" s="53">
        <v>2603</v>
      </c>
      <c r="L18" s="8">
        <v>1958</v>
      </c>
      <c r="M18" s="8">
        <v>6586</v>
      </c>
      <c r="N18" s="8">
        <v>12576</v>
      </c>
      <c r="O18" s="20">
        <v>33349</v>
      </c>
      <c r="P18" s="20">
        <v>65512</v>
      </c>
      <c r="Q18" s="24"/>
    </row>
    <row r="19" spans="1:17" ht="25" customHeight="1" x14ac:dyDescent="0.35">
      <c r="A19" s="15" t="s">
        <v>534</v>
      </c>
      <c r="B19" s="8">
        <v>672</v>
      </c>
      <c r="C19" s="8">
        <v>11970</v>
      </c>
      <c r="D19" s="8">
        <v>945</v>
      </c>
      <c r="E19" s="8">
        <v>18058</v>
      </c>
      <c r="F19" s="53">
        <v>38314</v>
      </c>
      <c r="G19" s="53">
        <v>14251</v>
      </c>
      <c r="H19" s="8">
        <v>6543</v>
      </c>
      <c r="I19" s="8">
        <v>6185</v>
      </c>
      <c r="J19" s="8">
        <v>21166</v>
      </c>
      <c r="K19" s="53">
        <v>6351</v>
      </c>
      <c r="L19" s="8">
        <v>8674</v>
      </c>
      <c r="M19" s="8">
        <v>15413</v>
      </c>
      <c r="N19" s="8">
        <v>20128</v>
      </c>
      <c r="O19" s="20">
        <v>47574</v>
      </c>
      <c r="P19" s="20">
        <v>216244</v>
      </c>
      <c r="Q19" s="24"/>
    </row>
    <row r="20" spans="1:17" ht="25" customHeight="1" x14ac:dyDescent="0.35">
      <c r="A20" s="15" t="s">
        <v>535</v>
      </c>
      <c r="B20" s="8">
        <v>690</v>
      </c>
      <c r="C20" s="8">
        <v>12179</v>
      </c>
      <c r="D20" s="8">
        <v>959</v>
      </c>
      <c r="E20" s="8">
        <v>18398</v>
      </c>
      <c r="F20" s="53">
        <v>40886</v>
      </c>
      <c r="G20" s="53">
        <v>15045</v>
      </c>
      <c r="H20" s="8">
        <v>7469</v>
      </c>
      <c r="I20" s="8">
        <v>6807</v>
      </c>
      <c r="J20" s="8">
        <v>21855</v>
      </c>
      <c r="K20" s="53">
        <v>6934</v>
      </c>
      <c r="L20" s="8">
        <v>9070</v>
      </c>
      <c r="M20" s="8">
        <v>17377</v>
      </c>
      <c r="N20" s="8">
        <v>23111</v>
      </c>
      <c r="O20" s="20">
        <v>53711</v>
      </c>
      <c r="P20" s="20">
        <v>234491</v>
      </c>
      <c r="Q20" s="24" t="s">
        <v>181</v>
      </c>
    </row>
    <row r="21" spans="1:17" ht="25" customHeight="1" x14ac:dyDescent="0.4">
      <c r="A21" s="16" t="s">
        <v>298</v>
      </c>
      <c r="B21" s="9">
        <v>1399</v>
      </c>
      <c r="C21" s="9">
        <v>24560</v>
      </c>
      <c r="D21" s="9">
        <v>1904</v>
      </c>
      <c r="E21" s="9">
        <v>36960</v>
      </c>
      <c r="F21" s="54">
        <v>80714</v>
      </c>
      <c r="G21" s="54">
        <v>30294</v>
      </c>
      <c r="H21" s="9">
        <v>15358</v>
      </c>
      <c r="I21" s="9">
        <v>13727</v>
      </c>
      <c r="J21" s="9">
        <v>45916</v>
      </c>
      <c r="K21" s="54">
        <v>15888</v>
      </c>
      <c r="L21" s="9">
        <v>19702</v>
      </c>
      <c r="M21" s="9">
        <v>39376</v>
      </c>
      <c r="N21" s="9">
        <v>55815</v>
      </c>
      <c r="O21" s="21">
        <v>134634</v>
      </c>
      <c r="P21" s="21">
        <v>516247</v>
      </c>
      <c r="Q21" s="4" t="s">
        <v>181</v>
      </c>
    </row>
    <row r="22" spans="1:17" ht="25" customHeight="1" x14ac:dyDescent="0.4">
      <c r="A22" s="16" t="s">
        <v>299</v>
      </c>
      <c r="B22" s="9">
        <v>4123</v>
      </c>
      <c r="C22" s="9">
        <v>72813</v>
      </c>
      <c r="D22" s="9">
        <v>5287</v>
      </c>
      <c r="E22" s="9">
        <v>106871</v>
      </c>
      <c r="F22" s="54">
        <v>306499</v>
      </c>
      <c r="G22" s="54">
        <v>93127</v>
      </c>
      <c r="H22" s="9">
        <v>51569</v>
      </c>
      <c r="I22" s="9">
        <v>43251</v>
      </c>
      <c r="J22" s="9">
        <v>137556</v>
      </c>
      <c r="K22" s="54">
        <v>49869</v>
      </c>
      <c r="L22" s="9">
        <v>57280</v>
      </c>
      <c r="M22" s="9">
        <v>125938</v>
      </c>
      <c r="N22" s="9">
        <v>177816</v>
      </c>
      <c r="O22" s="21">
        <v>421814</v>
      </c>
      <c r="P22" s="21">
        <v>1653813</v>
      </c>
      <c r="Q22" s="4" t="s">
        <v>181</v>
      </c>
    </row>
    <row r="23" spans="1:17" ht="25" customHeight="1" x14ac:dyDescent="0.35">
      <c r="A23" s="15" t="s">
        <v>536</v>
      </c>
      <c r="B23" s="8">
        <v>126107</v>
      </c>
      <c r="C23" s="8">
        <v>50581</v>
      </c>
      <c r="D23" s="8">
        <v>57933</v>
      </c>
      <c r="E23" s="8">
        <v>337051</v>
      </c>
      <c r="F23" s="53">
        <v>236944</v>
      </c>
      <c r="G23" s="53">
        <v>215177</v>
      </c>
      <c r="H23" s="8">
        <v>37424</v>
      </c>
      <c r="I23" s="8">
        <v>78662</v>
      </c>
      <c r="J23" s="8">
        <v>379573</v>
      </c>
      <c r="K23" s="53">
        <v>95191</v>
      </c>
      <c r="L23" s="8">
        <v>176592</v>
      </c>
      <c r="M23" s="8">
        <v>155059</v>
      </c>
      <c r="N23" s="8">
        <v>166411</v>
      </c>
      <c r="O23" s="20">
        <v>357033</v>
      </c>
      <c r="P23" s="20">
        <v>2469738</v>
      </c>
      <c r="Q23" s="24" t="s">
        <v>181</v>
      </c>
    </row>
    <row r="24" spans="1:17" ht="25" customHeight="1" x14ac:dyDescent="0.35">
      <c r="A24" s="15" t="s">
        <v>537</v>
      </c>
      <c r="B24" s="8">
        <v>22090</v>
      </c>
      <c r="C24" s="8">
        <v>9975</v>
      </c>
      <c r="D24" s="8">
        <v>12590</v>
      </c>
      <c r="E24" s="8">
        <v>84363</v>
      </c>
      <c r="F24" s="53">
        <v>50794</v>
      </c>
      <c r="G24" s="53">
        <v>53498</v>
      </c>
      <c r="H24" s="8">
        <v>8078</v>
      </c>
      <c r="I24" s="8">
        <v>19368</v>
      </c>
      <c r="J24" s="8">
        <v>86692</v>
      </c>
      <c r="K24" s="53">
        <v>19760</v>
      </c>
      <c r="L24" s="8">
        <v>38334</v>
      </c>
      <c r="M24" s="8">
        <v>35723</v>
      </c>
      <c r="N24" s="8">
        <v>36636</v>
      </c>
      <c r="O24" s="20">
        <v>83182</v>
      </c>
      <c r="P24" s="20">
        <v>561083</v>
      </c>
      <c r="Q24" s="24" t="s">
        <v>181</v>
      </c>
    </row>
    <row r="25" spans="1:17" ht="25" customHeight="1" x14ac:dyDescent="0.35">
      <c r="A25" s="15" t="s">
        <v>538</v>
      </c>
      <c r="B25" s="8">
        <v>4335</v>
      </c>
      <c r="C25" s="8">
        <v>1966</v>
      </c>
      <c r="D25" s="8">
        <v>2812</v>
      </c>
      <c r="E25" s="8">
        <v>12009</v>
      </c>
      <c r="F25" s="53">
        <v>9401</v>
      </c>
      <c r="G25" s="53">
        <v>7278</v>
      </c>
      <c r="H25" s="8">
        <v>1182</v>
      </c>
      <c r="I25" s="8">
        <v>2789</v>
      </c>
      <c r="J25" s="8">
        <v>12030</v>
      </c>
      <c r="K25" s="53">
        <v>3376</v>
      </c>
      <c r="L25" s="8">
        <v>6502</v>
      </c>
      <c r="M25" s="8">
        <v>5752</v>
      </c>
      <c r="N25" s="8">
        <v>5809</v>
      </c>
      <c r="O25" s="20">
        <v>12647</v>
      </c>
      <c r="P25" s="20">
        <v>87888</v>
      </c>
      <c r="Q25" s="24" t="s">
        <v>181</v>
      </c>
    </row>
    <row r="26" spans="1:17" ht="25" customHeight="1" x14ac:dyDescent="0.35">
      <c r="A26" s="15" t="s">
        <v>307</v>
      </c>
      <c r="B26" s="8">
        <v>125342</v>
      </c>
      <c r="C26" s="8">
        <v>71551</v>
      </c>
      <c r="D26" s="8">
        <v>53465</v>
      </c>
      <c r="E26" s="8">
        <v>374634</v>
      </c>
      <c r="F26" s="53">
        <v>351415</v>
      </c>
      <c r="G26" s="53">
        <v>281673</v>
      </c>
      <c r="H26" s="8">
        <v>59354</v>
      </c>
      <c r="I26" s="8">
        <v>113325</v>
      </c>
      <c r="J26" s="8">
        <v>534652</v>
      </c>
      <c r="K26" s="53">
        <v>118367</v>
      </c>
      <c r="L26" s="8">
        <v>178650</v>
      </c>
      <c r="M26" s="8">
        <v>209140</v>
      </c>
      <c r="N26" s="8">
        <v>221867</v>
      </c>
      <c r="O26" s="20">
        <v>487224</v>
      </c>
      <c r="P26" s="20">
        <v>3180659</v>
      </c>
      <c r="Q26" s="24" t="s">
        <v>181</v>
      </c>
    </row>
    <row r="27" spans="1:17" ht="25" customHeight="1" x14ac:dyDescent="0.35">
      <c r="A27" s="15" t="s">
        <v>539</v>
      </c>
      <c r="B27" s="8">
        <v>18199</v>
      </c>
      <c r="C27" s="8">
        <v>6660</v>
      </c>
      <c r="D27" s="8">
        <v>12041</v>
      </c>
      <c r="E27" s="8">
        <v>36227</v>
      </c>
      <c r="F27" s="53">
        <v>32518</v>
      </c>
      <c r="G27" s="53">
        <v>25067</v>
      </c>
      <c r="H27" s="8">
        <v>3302</v>
      </c>
      <c r="I27" s="8">
        <v>7218</v>
      </c>
      <c r="J27" s="8">
        <v>28892</v>
      </c>
      <c r="K27" s="53">
        <v>6640</v>
      </c>
      <c r="L27" s="8">
        <v>12930</v>
      </c>
      <c r="M27" s="8">
        <v>16577</v>
      </c>
      <c r="N27" s="8">
        <v>10580</v>
      </c>
      <c r="O27" s="20">
        <v>22911</v>
      </c>
      <c r="P27" s="20">
        <v>239762</v>
      </c>
      <c r="Q27" s="24" t="s">
        <v>181</v>
      </c>
    </row>
    <row r="28" spans="1:17" ht="25" customHeight="1" x14ac:dyDescent="0.4">
      <c r="A28" s="16" t="s">
        <v>308</v>
      </c>
      <c r="B28" s="9">
        <v>296073</v>
      </c>
      <c r="C28" s="9">
        <v>140733</v>
      </c>
      <c r="D28" s="9">
        <v>138841</v>
      </c>
      <c r="E28" s="9">
        <v>844284</v>
      </c>
      <c r="F28" s="54">
        <v>681072</v>
      </c>
      <c r="G28" s="54">
        <v>582693</v>
      </c>
      <c r="H28" s="9">
        <v>109340</v>
      </c>
      <c r="I28" s="9">
        <v>221362</v>
      </c>
      <c r="J28" s="9">
        <v>1041839</v>
      </c>
      <c r="K28" s="54">
        <v>243334</v>
      </c>
      <c r="L28" s="9">
        <v>413008</v>
      </c>
      <c r="M28" s="9">
        <v>422251</v>
      </c>
      <c r="N28" s="9">
        <v>441303</v>
      </c>
      <c r="O28" s="21">
        <v>962997</v>
      </c>
      <c r="P28" s="21">
        <v>6539130</v>
      </c>
      <c r="Q28" s="4" t="s">
        <v>181</v>
      </c>
    </row>
    <row r="29" spans="1:17" ht="25" customHeight="1" x14ac:dyDescent="0.35">
      <c r="A29" s="15" t="s">
        <v>540</v>
      </c>
      <c r="B29" s="8">
        <v>23</v>
      </c>
      <c r="C29" s="8">
        <v>27</v>
      </c>
      <c r="D29" s="8">
        <v>55</v>
      </c>
      <c r="E29" s="8">
        <v>1153</v>
      </c>
      <c r="F29" s="53">
        <v>16071</v>
      </c>
      <c r="G29" s="53">
        <v>1943</v>
      </c>
      <c r="H29" s="8">
        <v>186</v>
      </c>
      <c r="I29" s="8">
        <v>1249</v>
      </c>
      <c r="J29" s="8">
        <v>3626</v>
      </c>
      <c r="K29" s="53">
        <v>47</v>
      </c>
      <c r="L29" s="8">
        <v>172</v>
      </c>
      <c r="M29" s="8">
        <v>83</v>
      </c>
      <c r="N29" s="8">
        <v>54</v>
      </c>
      <c r="O29" s="20">
        <v>928</v>
      </c>
      <c r="P29" s="20">
        <v>25617</v>
      </c>
      <c r="Q29" s="24" t="s">
        <v>541</v>
      </c>
    </row>
    <row r="30" spans="1:17" ht="25" customHeight="1" x14ac:dyDescent="0.35">
      <c r="A30" s="15" t="s">
        <v>542</v>
      </c>
      <c r="B30" s="8">
        <v>106</v>
      </c>
      <c r="C30" s="8">
        <v>229</v>
      </c>
      <c r="D30" s="8">
        <v>211</v>
      </c>
      <c r="E30" s="8">
        <v>10814</v>
      </c>
      <c r="F30" s="53">
        <v>157494</v>
      </c>
      <c r="G30" s="53">
        <v>17564</v>
      </c>
      <c r="H30" s="8">
        <v>2629</v>
      </c>
      <c r="I30" s="8">
        <v>10743</v>
      </c>
      <c r="J30" s="8">
        <v>61721</v>
      </c>
      <c r="K30" s="53">
        <v>4543</v>
      </c>
      <c r="L30" s="8">
        <v>969</v>
      </c>
      <c r="M30" s="8">
        <v>6137</v>
      </c>
      <c r="N30" s="8">
        <v>543</v>
      </c>
      <c r="O30" s="20">
        <v>12992</v>
      </c>
      <c r="P30" s="20">
        <v>286695</v>
      </c>
      <c r="Q30" s="24" t="s">
        <v>181</v>
      </c>
    </row>
    <row r="31" spans="1:17" ht="25" customHeight="1" x14ac:dyDescent="0.4">
      <c r="A31" s="16" t="s">
        <v>324</v>
      </c>
      <c r="B31" s="9">
        <v>129</v>
      </c>
      <c r="C31" s="9">
        <v>256</v>
      </c>
      <c r="D31" s="9">
        <v>266</v>
      </c>
      <c r="E31" s="9">
        <v>11967</v>
      </c>
      <c r="F31" s="54">
        <v>173565</v>
      </c>
      <c r="G31" s="54">
        <v>19507</v>
      </c>
      <c r="H31" s="9">
        <v>2815</v>
      </c>
      <c r="I31" s="9">
        <v>11992</v>
      </c>
      <c r="J31" s="9">
        <v>65347</v>
      </c>
      <c r="K31" s="54">
        <v>4590</v>
      </c>
      <c r="L31" s="9">
        <v>1141</v>
      </c>
      <c r="M31" s="9">
        <v>6220</v>
      </c>
      <c r="N31" s="9">
        <v>597</v>
      </c>
      <c r="O31" s="21">
        <v>13920</v>
      </c>
      <c r="P31" s="21">
        <v>312312</v>
      </c>
      <c r="Q31" s="4" t="s">
        <v>181</v>
      </c>
    </row>
    <row r="32" spans="1:17" ht="25" customHeight="1" x14ac:dyDescent="0.35">
      <c r="A32" s="15" t="s">
        <v>543</v>
      </c>
      <c r="B32" s="8">
        <v>2157</v>
      </c>
      <c r="C32" s="8">
        <v>3475</v>
      </c>
      <c r="D32" s="8">
        <v>4182</v>
      </c>
      <c r="E32" s="8">
        <v>81953</v>
      </c>
      <c r="F32" s="53">
        <v>1282851</v>
      </c>
      <c r="G32" s="53">
        <v>469672</v>
      </c>
      <c r="H32" s="8">
        <v>553867</v>
      </c>
      <c r="I32" s="8">
        <v>120994</v>
      </c>
      <c r="J32" s="8">
        <v>2276061</v>
      </c>
      <c r="K32" s="53">
        <v>10235</v>
      </c>
      <c r="L32" s="8">
        <v>5291</v>
      </c>
      <c r="M32" s="8">
        <v>113836</v>
      </c>
      <c r="N32" s="8">
        <v>320901</v>
      </c>
      <c r="O32" s="20">
        <v>692012</v>
      </c>
      <c r="P32" s="20">
        <v>5937487</v>
      </c>
      <c r="Q32" s="24"/>
    </row>
    <row r="33" spans="1:17" ht="25" customHeight="1" x14ac:dyDescent="0.35">
      <c r="A33" s="15" t="s">
        <v>544</v>
      </c>
      <c r="B33" s="8">
        <v>276</v>
      </c>
      <c r="C33" s="8">
        <v>670</v>
      </c>
      <c r="D33" s="8">
        <v>427</v>
      </c>
      <c r="E33" s="8">
        <v>1487</v>
      </c>
      <c r="F33" s="53">
        <v>58472</v>
      </c>
      <c r="G33" s="53">
        <v>153952</v>
      </c>
      <c r="H33" s="8">
        <v>142764</v>
      </c>
      <c r="I33" s="8">
        <v>112894</v>
      </c>
      <c r="J33" s="8">
        <v>61640</v>
      </c>
      <c r="K33" s="53">
        <v>67531</v>
      </c>
      <c r="L33" s="8">
        <v>250</v>
      </c>
      <c r="M33" s="8">
        <v>82301</v>
      </c>
      <c r="N33" s="8">
        <v>77218</v>
      </c>
      <c r="O33" s="20">
        <v>291311</v>
      </c>
      <c r="P33" s="20">
        <v>1051193</v>
      </c>
      <c r="Q33" s="24" t="s">
        <v>545</v>
      </c>
    </row>
    <row r="34" spans="1:17" ht="25" customHeight="1" x14ac:dyDescent="0.35">
      <c r="A34" s="15" t="s">
        <v>546</v>
      </c>
      <c r="B34" s="8">
        <v>1067</v>
      </c>
      <c r="C34" s="8">
        <v>1388</v>
      </c>
      <c r="D34" s="8">
        <v>935</v>
      </c>
      <c r="E34" s="8">
        <v>4345</v>
      </c>
      <c r="F34" s="53">
        <v>131363</v>
      </c>
      <c r="G34" s="53">
        <v>1764465</v>
      </c>
      <c r="H34" s="8">
        <v>132949</v>
      </c>
      <c r="I34" s="8">
        <v>1649629</v>
      </c>
      <c r="J34" s="8">
        <v>900424</v>
      </c>
      <c r="K34" s="53">
        <v>428516</v>
      </c>
      <c r="L34" s="8">
        <v>822</v>
      </c>
      <c r="M34" s="8">
        <v>2888</v>
      </c>
      <c r="N34" s="8">
        <v>2530</v>
      </c>
      <c r="O34" s="20">
        <v>409082</v>
      </c>
      <c r="P34" s="20">
        <v>5430403</v>
      </c>
      <c r="Q34" s="24"/>
    </row>
    <row r="35" spans="1:17" ht="25" customHeight="1" x14ac:dyDescent="0.4">
      <c r="A35" s="16" t="s">
        <v>336</v>
      </c>
      <c r="B35" s="9">
        <v>3500</v>
      </c>
      <c r="C35" s="9">
        <v>5533</v>
      </c>
      <c r="D35" s="9">
        <v>5544</v>
      </c>
      <c r="E35" s="9">
        <v>87785</v>
      </c>
      <c r="F35" s="54">
        <v>1472686</v>
      </c>
      <c r="G35" s="54">
        <v>2388089</v>
      </c>
      <c r="H35" s="9">
        <v>829580</v>
      </c>
      <c r="I35" s="9">
        <v>1883517</v>
      </c>
      <c r="J35" s="9">
        <v>3238125</v>
      </c>
      <c r="K35" s="54">
        <v>506282</v>
      </c>
      <c r="L35" s="9">
        <v>6363</v>
      </c>
      <c r="M35" s="9">
        <v>199025</v>
      </c>
      <c r="N35" s="9">
        <v>400649</v>
      </c>
      <c r="O35" s="21">
        <v>1392405</v>
      </c>
      <c r="P35" s="21">
        <v>12419083</v>
      </c>
      <c r="Q35" s="4" t="s">
        <v>181</v>
      </c>
    </row>
    <row r="36" spans="1:17" ht="25" customHeight="1" x14ac:dyDescent="0.4">
      <c r="A36" s="16" t="s">
        <v>547</v>
      </c>
      <c r="B36" s="9">
        <v>81</v>
      </c>
      <c r="C36" s="9">
        <v>228</v>
      </c>
      <c r="D36" s="9">
        <v>65</v>
      </c>
      <c r="E36" s="9">
        <v>1022</v>
      </c>
      <c r="F36" s="54">
        <v>1591</v>
      </c>
      <c r="G36" s="54">
        <v>945</v>
      </c>
      <c r="H36" s="9">
        <v>216</v>
      </c>
      <c r="I36" s="9">
        <v>523</v>
      </c>
      <c r="J36" s="9">
        <v>495</v>
      </c>
      <c r="K36" s="54">
        <v>152</v>
      </c>
      <c r="L36" s="9">
        <v>326</v>
      </c>
      <c r="M36" s="9">
        <v>674</v>
      </c>
      <c r="N36" s="9">
        <v>648</v>
      </c>
      <c r="O36" s="21">
        <v>929</v>
      </c>
      <c r="P36" s="21">
        <v>7895</v>
      </c>
      <c r="Q36" s="4" t="s">
        <v>181</v>
      </c>
    </row>
    <row r="37" spans="1:17" ht="25" customHeight="1" x14ac:dyDescent="0.4">
      <c r="A37" s="16" t="s">
        <v>339</v>
      </c>
      <c r="B37" s="9">
        <v>0</v>
      </c>
      <c r="C37" s="9" t="s">
        <v>406</v>
      </c>
      <c r="D37" s="9" t="s">
        <v>406</v>
      </c>
      <c r="E37" s="9">
        <v>1303</v>
      </c>
      <c r="F37" s="54">
        <v>3468</v>
      </c>
      <c r="G37" s="54">
        <v>2654</v>
      </c>
      <c r="H37" s="9">
        <v>1019</v>
      </c>
      <c r="I37" s="9">
        <v>1257</v>
      </c>
      <c r="J37" s="9">
        <v>1873</v>
      </c>
      <c r="K37" s="54">
        <v>435</v>
      </c>
      <c r="L37" s="9">
        <v>608</v>
      </c>
      <c r="M37" s="9">
        <v>361</v>
      </c>
      <c r="N37" s="9">
        <v>205</v>
      </c>
      <c r="O37" s="21">
        <v>1346</v>
      </c>
      <c r="P37" s="21">
        <v>14809</v>
      </c>
      <c r="Q37" s="24"/>
    </row>
    <row r="38" spans="1:17" ht="25" customHeight="1" x14ac:dyDescent="0.4">
      <c r="A38" s="16" t="s">
        <v>340</v>
      </c>
      <c r="B38" s="9">
        <v>1135</v>
      </c>
      <c r="C38" s="9">
        <v>568</v>
      </c>
      <c r="D38" s="9">
        <v>388</v>
      </c>
      <c r="E38" s="9">
        <v>3061</v>
      </c>
      <c r="F38" s="54">
        <v>5813</v>
      </c>
      <c r="G38" s="54">
        <v>2982</v>
      </c>
      <c r="H38" s="9">
        <v>1624</v>
      </c>
      <c r="I38" s="9">
        <v>2316</v>
      </c>
      <c r="J38" s="9">
        <v>2494</v>
      </c>
      <c r="K38" s="54">
        <v>1608</v>
      </c>
      <c r="L38" s="9">
        <v>824</v>
      </c>
      <c r="M38" s="9">
        <v>3048</v>
      </c>
      <c r="N38" s="9">
        <v>2656</v>
      </c>
      <c r="O38" s="21">
        <v>2725</v>
      </c>
      <c r="P38" s="21">
        <v>31242</v>
      </c>
      <c r="Q38" s="24" t="s">
        <v>181</v>
      </c>
    </row>
    <row r="39" spans="1:17" ht="25" customHeight="1" x14ac:dyDescent="0.4">
      <c r="A39" s="16" t="s">
        <v>342</v>
      </c>
      <c r="B39" s="9">
        <v>0</v>
      </c>
      <c r="C39" s="9" t="s">
        <v>406</v>
      </c>
      <c r="D39" s="9" t="s">
        <v>406</v>
      </c>
      <c r="E39" s="9">
        <v>103</v>
      </c>
      <c r="F39" s="54">
        <v>189</v>
      </c>
      <c r="G39" s="54">
        <v>126</v>
      </c>
      <c r="H39" s="9">
        <v>44</v>
      </c>
      <c r="I39" s="9">
        <v>47</v>
      </c>
      <c r="J39" s="9">
        <v>188</v>
      </c>
      <c r="K39" s="54">
        <v>42</v>
      </c>
      <c r="L39" s="9">
        <v>42</v>
      </c>
      <c r="M39" s="9">
        <v>82</v>
      </c>
      <c r="N39" s="9">
        <v>108</v>
      </c>
      <c r="O39" s="21">
        <v>165</v>
      </c>
      <c r="P39" s="21">
        <v>1152</v>
      </c>
      <c r="Q39" s="24"/>
    </row>
    <row r="40" spans="1:17" ht="25" customHeight="1" x14ac:dyDescent="0.4">
      <c r="A40" s="16" t="s">
        <v>344</v>
      </c>
      <c r="B40" s="9" t="s">
        <v>406</v>
      </c>
      <c r="C40" s="9" t="s">
        <v>406</v>
      </c>
      <c r="D40" s="9">
        <v>0</v>
      </c>
      <c r="E40" s="9">
        <v>271</v>
      </c>
      <c r="F40" s="54">
        <v>344</v>
      </c>
      <c r="G40" s="54">
        <v>200</v>
      </c>
      <c r="H40" s="9">
        <v>162</v>
      </c>
      <c r="I40" s="9">
        <v>176</v>
      </c>
      <c r="J40" s="9">
        <v>156</v>
      </c>
      <c r="K40" s="54">
        <v>122</v>
      </c>
      <c r="L40" s="9">
        <v>57</v>
      </c>
      <c r="M40" s="9">
        <v>245</v>
      </c>
      <c r="N40" s="9">
        <v>161</v>
      </c>
      <c r="O40" s="21">
        <v>287</v>
      </c>
      <c r="P40" s="21">
        <v>2210</v>
      </c>
      <c r="Q40" s="24" t="s">
        <v>181</v>
      </c>
    </row>
    <row r="41" spans="1:17" ht="25" customHeight="1" x14ac:dyDescent="0.4">
      <c r="A41" s="16" t="s">
        <v>345</v>
      </c>
      <c r="B41" s="9">
        <v>0</v>
      </c>
      <c r="C41" s="9">
        <v>47</v>
      </c>
      <c r="D41" s="9">
        <v>38</v>
      </c>
      <c r="E41" s="9">
        <v>952</v>
      </c>
      <c r="F41" s="54">
        <v>661</v>
      </c>
      <c r="G41" s="54">
        <v>1700</v>
      </c>
      <c r="H41" s="9">
        <v>140</v>
      </c>
      <c r="I41" s="9">
        <v>235</v>
      </c>
      <c r="J41" s="9">
        <v>232</v>
      </c>
      <c r="K41" s="54">
        <v>187</v>
      </c>
      <c r="L41" s="9">
        <v>174</v>
      </c>
      <c r="M41" s="9">
        <v>143</v>
      </c>
      <c r="N41" s="9">
        <v>161</v>
      </c>
      <c r="O41" s="21">
        <v>333</v>
      </c>
      <c r="P41" s="21">
        <v>5003</v>
      </c>
      <c r="Q41" s="24"/>
    </row>
    <row r="42" spans="1:17" ht="15.45" x14ac:dyDescent="0.4">
      <c r="A42" s="2"/>
      <c r="B42" s="4"/>
      <c r="C42" s="4"/>
      <c r="D42" s="4"/>
      <c r="E42" s="4"/>
      <c r="F42" s="4"/>
      <c r="G42" s="4"/>
      <c r="H42" s="4"/>
      <c r="I42" s="4"/>
      <c r="J42" s="4"/>
      <c r="K42" s="4"/>
      <c r="L42" s="4"/>
      <c r="M42" s="4"/>
      <c r="N42" s="4"/>
      <c r="O42" s="4"/>
      <c r="P42" s="4"/>
      <c r="Q42" s="4"/>
    </row>
  </sheetData>
  <hyperlinks>
    <hyperlink ref="A5" r:id="rId1" xr:uid="{00000000-0004-0000-1400-000000000000}"/>
  </hyperlinks>
  <pageMargins left="0.7" right="0.7" top="0.75" bottom="0.75" header="0.3" footer="0.3"/>
  <pageSetup paperSize="9" orientation="portrait" horizontalDpi="300" verticalDpi="300"/>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31"/>
  <sheetViews>
    <sheetView showGridLines="0" zoomScaleNormal="100" workbookViewId="0"/>
  </sheetViews>
  <sheetFormatPr defaultColWidth="11.5625" defaultRowHeight="15" x14ac:dyDescent="0.35"/>
  <cols>
    <col min="1" max="1" width="50.75" customWidth="1"/>
    <col min="2" max="16" width="15.5625" customWidth="1"/>
  </cols>
  <sheetData>
    <row r="1" spans="1:16" ht="20.149999999999999" x14ac:dyDescent="0.5">
      <c r="A1" s="1" t="s">
        <v>565</v>
      </c>
    </row>
    <row r="2" spans="1:16" x14ac:dyDescent="0.35">
      <c r="A2" t="s">
        <v>34</v>
      </c>
    </row>
    <row r="3" spans="1:16" x14ac:dyDescent="0.35">
      <c r="A3" t="s">
        <v>160</v>
      </c>
    </row>
    <row r="4" spans="1:16" x14ac:dyDescent="0.35">
      <c r="A4" s="3" t="str">
        <f>HYPERLINK("#Notes!A1", "Link to Notes table")</f>
        <v>Link to Notes table</v>
      </c>
    </row>
    <row r="5" spans="1:16" ht="15.45" thickBot="1" x14ac:dyDescent="0.4">
      <c r="A5" s="3" t="s">
        <v>161</v>
      </c>
    </row>
    <row r="6" spans="1:16" ht="62.15" thickBot="1" x14ac:dyDescent="0.45">
      <c r="A6" s="5" t="s">
        <v>347</v>
      </c>
      <c r="B6" s="10" t="s">
        <v>484</v>
      </c>
      <c r="C6" s="10" t="s">
        <v>485</v>
      </c>
      <c r="D6" s="10" t="s">
        <v>486</v>
      </c>
      <c r="E6" s="19" t="s">
        <v>487</v>
      </c>
      <c r="F6" s="34" t="s">
        <v>488</v>
      </c>
      <c r="G6" s="10" t="s">
        <v>489</v>
      </c>
      <c r="H6" s="10" t="s">
        <v>490</v>
      </c>
      <c r="I6" s="10" t="s">
        <v>491</v>
      </c>
      <c r="J6" s="19" t="s">
        <v>492</v>
      </c>
      <c r="K6" s="55" t="s">
        <v>493</v>
      </c>
      <c r="L6" s="10" t="s">
        <v>494</v>
      </c>
      <c r="M6" s="10" t="s">
        <v>495</v>
      </c>
      <c r="N6" s="10" t="s">
        <v>496</v>
      </c>
      <c r="O6" s="19" t="s">
        <v>497</v>
      </c>
      <c r="P6" s="43" t="s">
        <v>498</v>
      </c>
    </row>
    <row r="7" spans="1:16" ht="25" customHeight="1" x14ac:dyDescent="0.35">
      <c r="A7" s="11" t="s">
        <v>348</v>
      </c>
      <c r="B7" s="8">
        <v>187</v>
      </c>
      <c r="C7" s="8">
        <v>378</v>
      </c>
      <c r="D7" s="8">
        <v>229</v>
      </c>
      <c r="E7" s="20">
        <v>1201</v>
      </c>
      <c r="F7" s="39">
        <v>1781</v>
      </c>
      <c r="G7" s="8">
        <v>832</v>
      </c>
      <c r="H7" s="8">
        <v>361</v>
      </c>
      <c r="I7" s="8">
        <v>324</v>
      </c>
      <c r="J7" s="20">
        <v>635</v>
      </c>
      <c r="K7" s="53">
        <v>331</v>
      </c>
      <c r="L7" s="8">
        <v>411</v>
      </c>
      <c r="M7" s="8">
        <v>670</v>
      </c>
      <c r="N7" s="8">
        <v>774</v>
      </c>
      <c r="O7" s="20">
        <v>1186</v>
      </c>
      <c r="P7" s="40">
        <v>9300</v>
      </c>
    </row>
    <row r="8" spans="1:16" ht="25" customHeight="1" x14ac:dyDescent="0.35">
      <c r="A8" s="11" t="s">
        <v>349</v>
      </c>
      <c r="B8" s="8">
        <v>290</v>
      </c>
      <c r="C8" s="8">
        <v>189</v>
      </c>
      <c r="D8" s="8">
        <v>485</v>
      </c>
      <c r="E8" s="20">
        <v>1119</v>
      </c>
      <c r="F8" s="39">
        <v>808</v>
      </c>
      <c r="G8" s="8">
        <v>330</v>
      </c>
      <c r="H8" s="8">
        <v>107</v>
      </c>
      <c r="I8" s="8">
        <v>114</v>
      </c>
      <c r="J8" s="20">
        <v>277</v>
      </c>
      <c r="K8" s="53">
        <v>145</v>
      </c>
      <c r="L8" s="8">
        <v>205</v>
      </c>
      <c r="M8" s="8">
        <v>276</v>
      </c>
      <c r="N8" s="8">
        <v>265</v>
      </c>
      <c r="O8" s="20">
        <v>437</v>
      </c>
      <c r="P8" s="40">
        <v>5047</v>
      </c>
    </row>
    <row r="9" spans="1:16" ht="25" customHeight="1" x14ac:dyDescent="0.35">
      <c r="A9" s="11" t="s">
        <v>350</v>
      </c>
      <c r="B9" s="8">
        <v>716</v>
      </c>
      <c r="C9" s="8">
        <v>442</v>
      </c>
      <c r="D9" s="8">
        <v>1798</v>
      </c>
      <c r="E9" s="20">
        <v>3076</v>
      </c>
      <c r="F9" s="39">
        <v>2317</v>
      </c>
      <c r="G9" s="8">
        <v>913</v>
      </c>
      <c r="H9" s="8">
        <v>342</v>
      </c>
      <c r="I9" s="8">
        <v>310</v>
      </c>
      <c r="J9" s="20">
        <v>690</v>
      </c>
      <c r="K9" s="53">
        <v>359</v>
      </c>
      <c r="L9" s="8">
        <v>593</v>
      </c>
      <c r="M9" s="8">
        <v>667</v>
      </c>
      <c r="N9" s="8">
        <v>643</v>
      </c>
      <c r="O9" s="20">
        <v>1142</v>
      </c>
      <c r="P9" s="40">
        <v>14008</v>
      </c>
    </row>
    <row r="10" spans="1:16" ht="25" customHeight="1" x14ac:dyDescent="0.4">
      <c r="A10" s="12" t="s">
        <v>351</v>
      </c>
      <c r="B10" s="9">
        <v>1049</v>
      </c>
      <c r="C10" s="9">
        <v>801</v>
      </c>
      <c r="D10" s="9">
        <v>2355</v>
      </c>
      <c r="E10" s="21">
        <v>4706</v>
      </c>
      <c r="F10" s="41">
        <v>4045</v>
      </c>
      <c r="G10" s="9">
        <v>1693</v>
      </c>
      <c r="H10" s="9">
        <v>653</v>
      </c>
      <c r="I10" s="9">
        <v>619</v>
      </c>
      <c r="J10" s="21">
        <v>1293</v>
      </c>
      <c r="K10" s="54">
        <v>686</v>
      </c>
      <c r="L10" s="9">
        <v>1030</v>
      </c>
      <c r="M10" s="9">
        <v>1346</v>
      </c>
      <c r="N10" s="9">
        <v>1365</v>
      </c>
      <c r="O10" s="21">
        <v>2213</v>
      </c>
      <c r="P10" s="42">
        <v>23854</v>
      </c>
    </row>
    <row r="11" spans="1:16" ht="25" customHeight="1" x14ac:dyDescent="0.35">
      <c r="A11" s="11" t="s">
        <v>352</v>
      </c>
      <c r="B11" s="8">
        <v>239</v>
      </c>
      <c r="C11" s="8">
        <v>448</v>
      </c>
      <c r="D11" s="8">
        <v>832</v>
      </c>
      <c r="E11" s="20">
        <v>1802</v>
      </c>
      <c r="F11" s="39">
        <v>2211</v>
      </c>
      <c r="G11" s="8">
        <v>820</v>
      </c>
      <c r="H11" s="8">
        <v>329</v>
      </c>
      <c r="I11" s="8">
        <v>326</v>
      </c>
      <c r="J11" s="20">
        <v>573</v>
      </c>
      <c r="K11" s="53">
        <v>347</v>
      </c>
      <c r="L11" s="8">
        <v>369</v>
      </c>
      <c r="M11" s="8">
        <v>640</v>
      </c>
      <c r="N11" s="8">
        <v>639</v>
      </c>
      <c r="O11" s="20">
        <v>858</v>
      </c>
      <c r="P11" s="40">
        <v>10433</v>
      </c>
    </row>
    <row r="12" spans="1:16" ht="25" customHeight="1" x14ac:dyDescent="0.35">
      <c r="A12" s="11" t="s">
        <v>355</v>
      </c>
      <c r="B12" s="8">
        <v>22</v>
      </c>
      <c r="C12" s="8">
        <v>65</v>
      </c>
      <c r="D12" s="8">
        <v>26</v>
      </c>
      <c r="E12" s="20">
        <v>209</v>
      </c>
      <c r="F12" s="39">
        <v>450</v>
      </c>
      <c r="G12" s="8">
        <v>301</v>
      </c>
      <c r="H12" s="8">
        <v>111</v>
      </c>
      <c r="I12" s="8">
        <v>114</v>
      </c>
      <c r="J12" s="20">
        <v>182</v>
      </c>
      <c r="K12" s="53">
        <v>84</v>
      </c>
      <c r="L12" s="8">
        <v>80</v>
      </c>
      <c r="M12" s="8">
        <v>166</v>
      </c>
      <c r="N12" s="8">
        <v>225</v>
      </c>
      <c r="O12" s="20">
        <v>333</v>
      </c>
      <c r="P12" s="40">
        <v>2368</v>
      </c>
    </row>
    <row r="13" spans="1:16" ht="25" customHeight="1" x14ac:dyDescent="0.35">
      <c r="A13" s="11" t="s">
        <v>353</v>
      </c>
      <c r="B13" s="8">
        <v>8</v>
      </c>
      <c r="C13" s="8">
        <v>63</v>
      </c>
      <c r="D13" s="8">
        <v>13</v>
      </c>
      <c r="E13" s="20">
        <v>302</v>
      </c>
      <c r="F13" s="39">
        <v>449</v>
      </c>
      <c r="G13" s="8">
        <v>443</v>
      </c>
      <c r="H13" s="8">
        <v>158</v>
      </c>
      <c r="I13" s="8">
        <v>188</v>
      </c>
      <c r="J13" s="20">
        <v>293</v>
      </c>
      <c r="K13" s="53">
        <v>88</v>
      </c>
      <c r="L13" s="8">
        <v>110</v>
      </c>
      <c r="M13" s="8">
        <v>179</v>
      </c>
      <c r="N13" s="8">
        <v>178</v>
      </c>
      <c r="O13" s="20">
        <v>435</v>
      </c>
      <c r="P13" s="40">
        <v>2907</v>
      </c>
    </row>
    <row r="14" spans="1:16" ht="25" customHeight="1" x14ac:dyDescent="0.35">
      <c r="A14" s="11" t="s">
        <v>354</v>
      </c>
      <c r="B14" s="8">
        <v>19</v>
      </c>
      <c r="C14" s="8">
        <v>47</v>
      </c>
      <c r="D14" s="8">
        <v>41</v>
      </c>
      <c r="E14" s="20">
        <v>133</v>
      </c>
      <c r="F14" s="39">
        <v>204</v>
      </c>
      <c r="G14" s="8">
        <v>99</v>
      </c>
      <c r="H14" s="8">
        <v>56</v>
      </c>
      <c r="I14" s="8">
        <v>46</v>
      </c>
      <c r="J14" s="20">
        <v>88</v>
      </c>
      <c r="K14" s="53">
        <v>54</v>
      </c>
      <c r="L14" s="8">
        <v>60</v>
      </c>
      <c r="M14" s="8">
        <v>105</v>
      </c>
      <c r="N14" s="8">
        <v>116</v>
      </c>
      <c r="O14" s="20">
        <v>182</v>
      </c>
      <c r="P14" s="40">
        <v>1250</v>
      </c>
    </row>
    <row r="15" spans="1:16" ht="25" customHeight="1" x14ac:dyDescent="0.35">
      <c r="A15" s="11" t="s">
        <v>359</v>
      </c>
      <c r="B15" s="8">
        <v>6</v>
      </c>
      <c r="C15" s="8">
        <v>42</v>
      </c>
      <c r="D15" s="8">
        <v>7</v>
      </c>
      <c r="E15" s="20">
        <v>122</v>
      </c>
      <c r="F15" s="39">
        <v>160</v>
      </c>
      <c r="G15" s="8">
        <v>152</v>
      </c>
      <c r="H15" s="8">
        <v>49</v>
      </c>
      <c r="I15" s="8">
        <v>54</v>
      </c>
      <c r="J15" s="20">
        <v>86</v>
      </c>
      <c r="K15" s="53">
        <v>39</v>
      </c>
      <c r="L15" s="8">
        <v>43</v>
      </c>
      <c r="M15" s="8">
        <v>83</v>
      </c>
      <c r="N15" s="8">
        <v>90</v>
      </c>
      <c r="O15" s="20">
        <v>160</v>
      </c>
      <c r="P15" s="40">
        <v>1093</v>
      </c>
    </row>
    <row r="16" spans="1:16" ht="25" customHeight="1" x14ac:dyDescent="0.35">
      <c r="A16" s="11" t="s">
        <v>357</v>
      </c>
      <c r="B16" s="8" t="s">
        <v>406</v>
      </c>
      <c r="C16" s="8">
        <v>7</v>
      </c>
      <c r="D16" s="8" t="s">
        <v>406</v>
      </c>
      <c r="E16" s="20">
        <v>62</v>
      </c>
      <c r="F16" s="39">
        <v>87</v>
      </c>
      <c r="G16" s="8">
        <v>104</v>
      </c>
      <c r="H16" s="8">
        <v>47</v>
      </c>
      <c r="I16" s="8">
        <v>55</v>
      </c>
      <c r="J16" s="20">
        <v>52</v>
      </c>
      <c r="K16" s="53">
        <v>14</v>
      </c>
      <c r="L16" s="8">
        <v>34</v>
      </c>
      <c r="M16" s="8">
        <v>50</v>
      </c>
      <c r="N16" s="8">
        <v>33</v>
      </c>
      <c r="O16" s="20">
        <v>96</v>
      </c>
      <c r="P16" s="40">
        <v>648</v>
      </c>
    </row>
    <row r="17" spans="1:16" ht="25" customHeight="1" x14ac:dyDescent="0.35">
      <c r="A17" s="11" t="s">
        <v>358</v>
      </c>
      <c r="B17" s="8">
        <v>14</v>
      </c>
      <c r="C17" s="8">
        <v>11</v>
      </c>
      <c r="D17" s="8">
        <v>22</v>
      </c>
      <c r="E17" s="20">
        <v>71</v>
      </c>
      <c r="F17" s="39">
        <v>73</v>
      </c>
      <c r="G17" s="8">
        <v>59</v>
      </c>
      <c r="H17" s="8">
        <v>22</v>
      </c>
      <c r="I17" s="8">
        <v>19</v>
      </c>
      <c r="J17" s="20">
        <v>42</v>
      </c>
      <c r="K17" s="53">
        <v>21</v>
      </c>
      <c r="L17" s="8">
        <v>33</v>
      </c>
      <c r="M17" s="8">
        <v>44</v>
      </c>
      <c r="N17" s="8">
        <v>46</v>
      </c>
      <c r="O17" s="20">
        <v>60</v>
      </c>
      <c r="P17" s="40">
        <v>537</v>
      </c>
    </row>
    <row r="18" spans="1:16" ht="25" customHeight="1" x14ac:dyDescent="0.4">
      <c r="A18" s="12" t="s">
        <v>361</v>
      </c>
      <c r="B18" s="9">
        <v>57</v>
      </c>
      <c r="C18" s="9">
        <v>165</v>
      </c>
      <c r="D18" s="9">
        <v>88</v>
      </c>
      <c r="E18" s="21">
        <v>625</v>
      </c>
      <c r="F18" s="41">
        <v>1006</v>
      </c>
      <c r="G18" s="9">
        <v>761</v>
      </c>
      <c r="H18" s="9">
        <v>274</v>
      </c>
      <c r="I18" s="9">
        <v>314</v>
      </c>
      <c r="J18" s="21">
        <v>498</v>
      </c>
      <c r="K18" s="54">
        <v>209</v>
      </c>
      <c r="L18" s="9">
        <v>249</v>
      </c>
      <c r="M18" s="9">
        <v>430</v>
      </c>
      <c r="N18" s="9">
        <v>451</v>
      </c>
      <c r="O18" s="21">
        <v>834</v>
      </c>
      <c r="P18" s="42">
        <v>5961</v>
      </c>
    </row>
    <row r="19" spans="1:16" ht="25" customHeight="1" x14ac:dyDescent="0.35">
      <c r="A19" s="11" t="s">
        <v>364</v>
      </c>
      <c r="B19" s="8">
        <v>17</v>
      </c>
      <c r="C19" s="8">
        <v>36</v>
      </c>
      <c r="D19" s="8">
        <v>18</v>
      </c>
      <c r="E19" s="20">
        <v>115</v>
      </c>
      <c r="F19" s="39">
        <v>147</v>
      </c>
      <c r="G19" s="8">
        <v>81</v>
      </c>
      <c r="H19" s="8">
        <v>37</v>
      </c>
      <c r="I19" s="8">
        <v>29</v>
      </c>
      <c r="J19" s="20">
        <v>60</v>
      </c>
      <c r="K19" s="53">
        <v>26</v>
      </c>
      <c r="L19" s="8">
        <v>43</v>
      </c>
      <c r="M19" s="8">
        <v>53</v>
      </c>
      <c r="N19" s="8">
        <v>59</v>
      </c>
      <c r="O19" s="20">
        <v>80</v>
      </c>
      <c r="P19" s="40">
        <v>801</v>
      </c>
    </row>
    <row r="20" spans="1:16" ht="25" customHeight="1" x14ac:dyDescent="0.35">
      <c r="A20" s="11" t="s">
        <v>362</v>
      </c>
      <c r="B20" s="8">
        <v>11</v>
      </c>
      <c r="C20" s="8">
        <v>30</v>
      </c>
      <c r="D20" s="8">
        <v>14</v>
      </c>
      <c r="E20" s="20">
        <v>139</v>
      </c>
      <c r="F20" s="39">
        <v>200</v>
      </c>
      <c r="G20" s="8">
        <v>173</v>
      </c>
      <c r="H20" s="8">
        <v>64</v>
      </c>
      <c r="I20" s="8">
        <v>93</v>
      </c>
      <c r="J20" s="20">
        <v>132</v>
      </c>
      <c r="K20" s="53">
        <v>52</v>
      </c>
      <c r="L20" s="8">
        <v>66</v>
      </c>
      <c r="M20" s="8">
        <v>101</v>
      </c>
      <c r="N20" s="8">
        <v>121</v>
      </c>
      <c r="O20" s="20">
        <v>212</v>
      </c>
      <c r="P20" s="40">
        <v>1408</v>
      </c>
    </row>
    <row r="21" spans="1:16" ht="25" customHeight="1" x14ac:dyDescent="0.35">
      <c r="A21" s="11" t="s">
        <v>363</v>
      </c>
      <c r="B21" s="8">
        <v>41</v>
      </c>
      <c r="C21" s="8">
        <v>47</v>
      </c>
      <c r="D21" s="8">
        <v>86</v>
      </c>
      <c r="E21" s="20">
        <v>206</v>
      </c>
      <c r="F21" s="39">
        <v>221</v>
      </c>
      <c r="G21" s="8">
        <v>81</v>
      </c>
      <c r="H21" s="8">
        <v>48</v>
      </c>
      <c r="I21" s="8">
        <v>33</v>
      </c>
      <c r="J21" s="20">
        <v>70</v>
      </c>
      <c r="K21" s="53">
        <v>41</v>
      </c>
      <c r="L21" s="8">
        <v>46</v>
      </c>
      <c r="M21" s="8">
        <v>86</v>
      </c>
      <c r="N21" s="8">
        <v>69</v>
      </c>
      <c r="O21" s="20">
        <v>109</v>
      </c>
      <c r="P21" s="40">
        <v>1184</v>
      </c>
    </row>
    <row r="22" spans="1:16" ht="25" customHeight="1" x14ac:dyDescent="0.35">
      <c r="A22" s="11" t="s">
        <v>368</v>
      </c>
      <c r="B22" s="8">
        <v>5</v>
      </c>
      <c r="C22" s="8">
        <v>34</v>
      </c>
      <c r="D22" s="8">
        <v>10</v>
      </c>
      <c r="E22" s="20">
        <v>99</v>
      </c>
      <c r="F22" s="39">
        <v>135</v>
      </c>
      <c r="G22" s="8">
        <v>90</v>
      </c>
      <c r="H22" s="8">
        <v>34</v>
      </c>
      <c r="I22" s="8">
        <v>24</v>
      </c>
      <c r="J22" s="20">
        <v>69</v>
      </c>
      <c r="K22" s="53">
        <v>24</v>
      </c>
      <c r="L22" s="8">
        <v>37</v>
      </c>
      <c r="M22" s="8">
        <v>49</v>
      </c>
      <c r="N22" s="8">
        <v>56</v>
      </c>
      <c r="O22" s="20">
        <v>78</v>
      </c>
      <c r="P22" s="40">
        <v>744</v>
      </c>
    </row>
    <row r="23" spans="1:16" ht="25" customHeight="1" x14ac:dyDescent="0.35">
      <c r="A23" s="11" t="s">
        <v>366</v>
      </c>
      <c r="B23" s="8" t="s">
        <v>406</v>
      </c>
      <c r="C23" s="8">
        <v>11</v>
      </c>
      <c r="D23" s="8" t="s">
        <v>406</v>
      </c>
      <c r="E23" s="20">
        <v>77</v>
      </c>
      <c r="F23" s="39">
        <v>118</v>
      </c>
      <c r="G23" s="8">
        <v>92</v>
      </c>
      <c r="H23" s="8">
        <v>31</v>
      </c>
      <c r="I23" s="8">
        <v>43</v>
      </c>
      <c r="J23" s="20">
        <v>53</v>
      </c>
      <c r="K23" s="53">
        <v>25</v>
      </c>
      <c r="L23" s="8">
        <v>27</v>
      </c>
      <c r="M23" s="8">
        <v>52</v>
      </c>
      <c r="N23" s="8">
        <v>42</v>
      </c>
      <c r="O23" s="20">
        <v>84</v>
      </c>
      <c r="P23" s="40">
        <v>666</v>
      </c>
    </row>
    <row r="24" spans="1:16" ht="25" customHeight="1" x14ac:dyDescent="0.35">
      <c r="A24" s="11" t="s">
        <v>367</v>
      </c>
      <c r="B24" s="8">
        <v>32</v>
      </c>
      <c r="C24" s="8">
        <v>31</v>
      </c>
      <c r="D24" s="8">
        <v>36</v>
      </c>
      <c r="E24" s="20">
        <v>152</v>
      </c>
      <c r="F24" s="39">
        <v>154</v>
      </c>
      <c r="G24" s="8">
        <v>71</v>
      </c>
      <c r="H24" s="8">
        <v>36</v>
      </c>
      <c r="I24" s="8">
        <v>33</v>
      </c>
      <c r="J24" s="20">
        <v>58</v>
      </c>
      <c r="K24" s="53">
        <v>37</v>
      </c>
      <c r="L24" s="8">
        <v>42</v>
      </c>
      <c r="M24" s="8">
        <v>77</v>
      </c>
      <c r="N24" s="8">
        <v>58</v>
      </c>
      <c r="O24" s="20">
        <v>108</v>
      </c>
      <c r="P24" s="40">
        <v>925</v>
      </c>
    </row>
    <row r="25" spans="1:16" ht="25" customHeight="1" x14ac:dyDescent="0.4">
      <c r="A25" s="12" t="s">
        <v>370</v>
      </c>
      <c r="B25" s="9">
        <v>78</v>
      </c>
      <c r="C25" s="9">
        <v>131</v>
      </c>
      <c r="D25" s="9">
        <v>136</v>
      </c>
      <c r="E25" s="21">
        <v>607</v>
      </c>
      <c r="F25" s="41">
        <v>747</v>
      </c>
      <c r="G25" s="9">
        <v>443</v>
      </c>
      <c r="H25" s="9">
        <v>185</v>
      </c>
      <c r="I25" s="9">
        <v>200</v>
      </c>
      <c r="J25" s="21">
        <v>338</v>
      </c>
      <c r="K25" s="54">
        <v>160</v>
      </c>
      <c r="L25" s="9">
        <v>209</v>
      </c>
      <c r="M25" s="9">
        <v>329</v>
      </c>
      <c r="N25" s="9">
        <v>312</v>
      </c>
      <c r="O25" s="21">
        <v>520</v>
      </c>
      <c r="P25" s="42">
        <v>4395</v>
      </c>
    </row>
    <row r="26" spans="1:16" s="188" customFormat="1" ht="25" customHeight="1" x14ac:dyDescent="0.35">
      <c r="A26" s="189" t="s">
        <v>372</v>
      </c>
      <c r="B26" s="185">
        <v>37</v>
      </c>
      <c r="C26" s="185">
        <v>67</v>
      </c>
      <c r="D26" s="185">
        <v>60</v>
      </c>
      <c r="E26" s="187">
        <v>296</v>
      </c>
      <c r="F26" s="190">
        <v>298</v>
      </c>
      <c r="G26" s="185">
        <v>204</v>
      </c>
      <c r="H26" s="185">
        <v>72</v>
      </c>
      <c r="I26" s="185">
        <v>85</v>
      </c>
      <c r="J26" s="187">
        <v>201</v>
      </c>
      <c r="K26" s="186">
        <v>50</v>
      </c>
      <c r="L26" s="185">
        <v>108</v>
      </c>
      <c r="M26" s="185">
        <v>137</v>
      </c>
      <c r="N26" s="185">
        <v>142</v>
      </c>
      <c r="O26" s="187">
        <v>278</v>
      </c>
      <c r="P26" s="191">
        <v>2035</v>
      </c>
    </row>
    <row r="27" spans="1:16" s="188" customFormat="1" ht="25" customHeight="1" x14ac:dyDescent="0.35">
      <c r="A27" s="189" t="s">
        <v>373</v>
      </c>
      <c r="B27" s="185">
        <v>18</v>
      </c>
      <c r="C27" s="185">
        <v>24</v>
      </c>
      <c r="D27" s="185">
        <v>17</v>
      </c>
      <c r="E27" s="187">
        <v>111</v>
      </c>
      <c r="F27" s="190">
        <v>95</v>
      </c>
      <c r="G27" s="185">
        <v>90</v>
      </c>
      <c r="H27" s="185">
        <v>31</v>
      </c>
      <c r="I27" s="185">
        <v>32</v>
      </c>
      <c r="J27" s="187">
        <v>51</v>
      </c>
      <c r="K27" s="186">
        <v>27</v>
      </c>
      <c r="L27" s="185">
        <v>52</v>
      </c>
      <c r="M27" s="185">
        <v>49</v>
      </c>
      <c r="N27" s="185">
        <v>45</v>
      </c>
      <c r="O27" s="187">
        <v>78</v>
      </c>
      <c r="P27" s="191">
        <v>720</v>
      </c>
    </row>
    <row r="28" spans="1:16" ht="25" customHeight="1" x14ac:dyDescent="0.4">
      <c r="A28" s="12" t="s">
        <v>374</v>
      </c>
      <c r="B28" s="9">
        <v>42</v>
      </c>
      <c r="C28" s="9">
        <v>78</v>
      </c>
      <c r="D28" s="9">
        <v>69</v>
      </c>
      <c r="E28" s="21">
        <v>339</v>
      </c>
      <c r="F28" s="41">
        <v>340</v>
      </c>
      <c r="G28" s="9">
        <v>231</v>
      </c>
      <c r="H28" s="9">
        <v>82</v>
      </c>
      <c r="I28" s="9">
        <v>98</v>
      </c>
      <c r="J28" s="21">
        <v>220</v>
      </c>
      <c r="K28" s="54">
        <v>69</v>
      </c>
      <c r="L28" s="9">
        <v>132</v>
      </c>
      <c r="M28" s="9">
        <v>160</v>
      </c>
      <c r="N28" s="9">
        <v>164</v>
      </c>
      <c r="O28" s="21">
        <v>317</v>
      </c>
      <c r="P28" s="42">
        <v>2341</v>
      </c>
    </row>
    <row r="29" spans="1:16" ht="25" customHeight="1" x14ac:dyDescent="0.4">
      <c r="A29" s="95" t="s">
        <v>566</v>
      </c>
      <c r="B29" s="9">
        <v>146</v>
      </c>
      <c r="C29" s="9">
        <v>296</v>
      </c>
      <c r="D29" s="9">
        <v>250</v>
      </c>
      <c r="E29" s="21">
        <v>1222</v>
      </c>
      <c r="F29" s="41">
        <v>1591</v>
      </c>
      <c r="G29" s="9">
        <v>1010</v>
      </c>
      <c r="H29" s="9">
        <v>393</v>
      </c>
      <c r="I29" s="9">
        <v>417</v>
      </c>
      <c r="J29" s="21">
        <v>733</v>
      </c>
      <c r="K29" s="54">
        <v>346</v>
      </c>
      <c r="L29" s="9">
        <v>427</v>
      </c>
      <c r="M29" s="9">
        <v>690</v>
      </c>
      <c r="N29" s="9">
        <v>668</v>
      </c>
      <c r="O29" s="21">
        <v>1177</v>
      </c>
      <c r="P29" s="42">
        <v>9366</v>
      </c>
    </row>
    <row r="30" spans="1:16" ht="25" customHeight="1" x14ac:dyDescent="0.4">
      <c r="A30" s="12" t="s">
        <v>567</v>
      </c>
      <c r="B30" s="9">
        <v>1086</v>
      </c>
      <c r="C30" s="9">
        <v>847</v>
      </c>
      <c r="D30" s="9">
        <v>2445</v>
      </c>
      <c r="E30" s="21">
        <v>5063</v>
      </c>
      <c r="F30" s="41">
        <v>4382</v>
      </c>
      <c r="G30" s="9">
        <v>1944</v>
      </c>
      <c r="H30" s="9">
        <v>735</v>
      </c>
      <c r="I30" s="9">
        <v>750</v>
      </c>
      <c r="J30" s="21">
        <v>1442</v>
      </c>
      <c r="K30" s="54">
        <v>760</v>
      </c>
      <c r="L30" s="9">
        <v>1133</v>
      </c>
      <c r="M30" s="9">
        <v>1492</v>
      </c>
      <c r="N30" s="9">
        <v>1464</v>
      </c>
      <c r="O30" s="21">
        <v>2396</v>
      </c>
      <c r="P30" s="42">
        <v>25939</v>
      </c>
    </row>
    <row r="31" spans="1:16" ht="25" customHeight="1" thickBot="1" x14ac:dyDescent="0.45">
      <c r="A31" s="25" t="s">
        <v>548</v>
      </c>
      <c r="B31" s="47">
        <v>1706</v>
      </c>
      <c r="C31" s="48">
        <v>1736</v>
      </c>
      <c r="D31" s="48">
        <v>5237</v>
      </c>
      <c r="E31" s="49">
        <v>9161</v>
      </c>
      <c r="F31" s="66">
        <v>8475</v>
      </c>
      <c r="G31" s="48">
        <v>3569</v>
      </c>
      <c r="H31" s="48">
        <v>1444</v>
      </c>
      <c r="I31" s="48">
        <v>1463</v>
      </c>
      <c r="J31" s="49">
        <v>2543</v>
      </c>
      <c r="K31" s="59">
        <v>1507</v>
      </c>
      <c r="L31" s="48">
        <v>1846</v>
      </c>
      <c r="M31" s="48">
        <v>2982</v>
      </c>
      <c r="N31" s="48">
        <v>2711</v>
      </c>
      <c r="O31" s="49">
        <v>3950</v>
      </c>
      <c r="P31" s="51">
        <v>48330</v>
      </c>
    </row>
  </sheetData>
  <hyperlinks>
    <hyperlink ref="A5" r:id="rId1" xr:uid="{00000000-0004-0000-1500-000000000000}"/>
  </hyperlinks>
  <pageMargins left="0.7" right="0.7" top="0.75" bottom="0.75" header="0.3" footer="0.3"/>
  <pageSetup paperSize="9" orientation="portrait" horizontalDpi="300" verticalDpi="300"/>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1"/>
  <sheetViews>
    <sheetView showGridLines="0" zoomScaleNormal="100" workbookViewId="0"/>
  </sheetViews>
  <sheetFormatPr defaultColWidth="11.5625" defaultRowHeight="15" x14ac:dyDescent="0.35"/>
  <cols>
    <col min="1" max="1" width="50.75" customWidth="1"/>
    <col min="2" max="16" width="15.5625" customWidth="1"/>
  </cols>
  <sheetData>
    <row r="1" spans="1:16" ht="20.149999999999999" x14ac:dyDescent="0.5">
      <c r="A1" s="1" t="s">
        <v>568</v>
      </c>
    </row>
    <row r="2" spans="1:16" x14ac:dyDescent="0.35">
      <c r="A2" t="s">
        <v>34</v>
      </c>
    </row>
    <row r="3" spans="1:16" x14ac:dyDescent="0.35">
      <c r="A3" t="s">
        <v>160</v>
      </c>
    </row>
    <row r="4" spans="1:16" x14ac:dyDescent="0.35">
      <c r="A4" s="3" t="str">
        <f>HYPERLINK("#Notes!A1", "Link to Notes table")</f>
        <v>Link to Notes table</v>
      </c>
    </row>
    <row r="5" spans="1:16" x14ac:dyDescent="0.35">
      <c r="A5" s="3" t="s">
        <v>161</v>
      </c>
    </row>
    <row r="6" spans="1:16" ht="62.15" thickBot="1" x14ac:dyDescent="0.45">
      <c r="A6" s="46" t="s">
        <v>347</v>
      </c>
      <c r="B6" s="26" t="s">
        <v>550</v>
      </c>
      <c r="C6" s="26" t="s">
        <v>551</v>
      </c>
      <c r="D6" s="26" t="s">
        <v>552</v>
      </c>
      <c r="E6" s="96" t="s">
        <v>553</v>
      </c>
      <c r="F6" s="96" t="s">
        <v>554</v>
      </c>
      <c r="G6" s="26" t="s">
        <v>555</v>
      </c>
      <c r="H6" s="26" t="s">
        <v>556</v>
      </c>
      <c r="I6" s="26" t="s">
        <v>557</v>
      </c>
      <c r="J6" s="96" t="s">
        <v>558</v>
      </c>
      <c r="K6" s="26" t="s">
        <v>559</v>
      </c>
      <c r="L6" s="26" t="s">
        <v>560</v>
      </c>
      <c r="M6" s="26" t="s">
        <v>561</v>
      </c>
      <c r="N6" s="26" t="s">
        <v>562</v>
      </c>
      <c r="O6" s="96" t="s">
        <v>563</v>
      </c>
      <c r="P6" s="26" t="s">
        <v>564</v>
      </c>
    </row>
    <row r="7" spans="1:16" ht="25" customHeight="1" x14ac:dyDescent="0.35">
      <c r="A7" s="15" t="s">
        <v>348</v>
      </c>
      <c r="B7" s="8">
        <v>210</v>
      </c>
      <c r="C7" s="8">
        <v>456</v>
      </c>
      <c r="D7" s="8">
        <v>256</v>
      </c>
      <c r="E7" s="20">
        <v>1418</v>
      </c>
      <c r="F7" s="20">
        <v>2148</v>
      </c>
      <c r="G7" s="8">
        <v>1053</v>
      </c>
      <c r="H7" s="8">
        <v>460</v>
      </c>
      <c r="I7" s="8">
        <v>401</v>
      </c>
      <c r="J7" s="20">
        <v>806</v>
      </c>
      <c r="K7" s="8">
        <v>414</v>
      </c>
      <c r="L7" s="8">
        <v>510</v>
      </c>
      <c r="M7" s="8">
        <v>844</v>
      </c>
      <c r="N7" s="8">
        <v>973</v>
      </c>
      <c r="O7" s="20">
        <v>1529</v>
      </c>
      <c r="P7" s="8">
        <v>11478</v>
      </c>
    </row>
    <row r="8" spans="1:16" ht="25" customHeight="1" x14ac:dyDescent="0.35">
      <c r="A8" s="15" t="s">
        <v>349</v>
      </c>
      <c r="B8" s="8">
        <v>342</v>
      </c>
      <c r="C8" s="8">
        <v>221</v>
      </c>
      <c r="D8" s="8">
        <v>559</v>
      </c>
      <c r="E8" s="20">
        <v>1338</v>
      </c>
      <c r="F8" s="20">
        <v>921</v>
      </c>
      <c r="G8" s="8">
        <v>380</v>
      </c>
      <c r="H8" s="8">
        <v>120</v>
      </c>
      <c r="I8" s="8">
        <v>128</v>
      </c>
      <c r="J8" s="20">
        <v>308</v>
      </c>
      <c r="K8" s="8">
        <v>162</v>
      </c>
      <c r="L8" s="8">
        <v>241</v>
      </c>
      <c r="M8" s="8">
        <v>307</v>
      </c>
      <c r="N8" s="8">
        <v>304</v>
      </c>
      <c r="O8" s="20">
        <v>501</v>
      </c>
      <c r="P8" s="8">
        <v>5832</v>
      </c>
    </row>
    <row r="9" spans="1:16" ht="25" customHeight="1" x14ac:dyDescent="0.35">
      <c r="A9" s="15" t="s">
        <v>350</v>
      </c>
      <c r="B9" s="8">
        <v>950</v>
      </c>
      <c r="C9" s="8">
        <v>559</v>
      </c>
      <c r="D9" s="8">
        <v>2266</v>
      </c>
      <c r="E9" s="20">
        <v>4022</v>
      </c>
      <c r="F9" s="20">
        <v>2942</v>
      </c>
      <c r="G9" s="8">
        <v>1160</v>
      </c>
      <c r="H9" s="8">
        <v>416</v>
      </c>
      <c r="I9" s="8">
        <v>389</v>
      </c>
      <c r="J9" s="20">
        <v>865</v>
      </c>
      <c r="K9" s="8">
        <v>461</v>
      </c>
      <c r="L9" s="8">
        <v>775</v>
      </c>
      <c r="M9" s="8">
        <v>847</v>
      </c>
      <c r="N9" s="8">
        <v>802</v>
      </c>
      <c r="O9" s="20">
        <v>1448</v>
      </c>
      <c r="P9" s="8">
        <v>17902</v>
      </c>
    </row>
    <row r="10" spans="1:16" ht="25" customHeight="1" x14ac:dyDescent="0.4">
      <c r="A10" s="16" t="s">
        <v>351</v>
      </c>
      <c r="B10" s="9">
        <v>1502</v>
      </c>
      <c r="C10" s="9">
        <v>1236</v>
      </c>
      <c r="D10" s="9">
        <v>3081</v>
      </c>
      <c r="E10" s="21">
        <v>6778</v>
      </c>
      <c r="F10" s="21">
        <v>6011</v>
      </c>
      <c r="G10" s="9">
        <v>2593</v>
      </c>
      <c r="H10" s="9">
        <v>996</v>
      </c>
      <c r="I10" s="9">
        <v>918</v>
      </c>
      <c r="J10" s="21">
        <v>1979</v>
      </c>
      <c r="K10" s="9">
        <v>1037</v>
      </c>
      <c r="L10" s="9">
        <v>1526</v>
      </c>
      <c r="M10" s="9">
        <v>1998</v>
      </c>
      <c r="N10" s="9">
        <v>2079</v>
      </c>
      <c r="O10" s="21">
        <v>3478</v>
      </c>
      <c r="P10" s="9">
        <v>35212</v>
      </c>
    </row>
    <row r="11" spans="1:16" ht="25" customHeight="1" x14ac:dyDescent="0.35">
      <c r="A11" s="15" t="s">
        <v>352</v>
      </c>
      <c r="B11" s="8">
        <v>294</v>
      </c>
      <c r="C11" s="8">
        <v>633</v>
      </c>
      <c r="D11" s="8">
        <v>1050</v>
      </c>
      <c r="E11" s="20">
        <v>2390</v>
      </c>
      <c r="F11" s="20">
        <v>3195</v>
      </c>
      <c r="G11" s="8">
        <v>1146</v>
      </c>
      <c r="H11" s="8">
        <v>469</v>
      </c>
      <c r="I11" s="8">
        <v>456</v>
      </c>
      <c r="J11" s="20">
        <v>803</v>
      </c>
      <c r="K11" s="8">
        <v>485</v>
      </c>
      <c r="L11" s="8">
        <v>494</v>
      </c>
      <c r="M11" s="8">
        <v>887</v>
      </c>
      <c r="N11" s="8">
        <v>899</v>
      </c>
      <c r="O11" s="20">
        <v>1223</v>
      </c>
      <c r="P11" s="8">
        <v>14424</v>
      </c>
    </row>
    <row r="12" spans="1:16" ht="25" customHeight="1" x14ac:dyDescent="0.35">
      <c r="A12" s="15" t="s">
        <v>353</v>
      </c>
      <c r="B12" s="8">
        <v>14</v>
      </c>
      <c r="C12" s="8">
        <v>106</v>
      </c>
      <c r="D12" s="8">
        <v>43</v>
      </c>
      <c r="E12" s="20">
        <v>603</v>
      </c>
      <c r="F12" s="20">
        <v>1028</v>
      </c>
      <c r="G12" s="8">
        <v>1193</v>
      </c>
      <c r="H12" s="8">
        <v>638</v>
      </c>
      <c r="I12" s="8">
        <v>853</v>
      </c>
      <c r="J12" s="20">
        <v>721</v>
      </c>
      <c r="K12" s="8">
        <v>223</v>
      </c>
      <c r="L12" s="8">
        <v>205</v>
      </c>
      <c r="M12" s="8">
        <v>317</v>
      </c>
      <c r="N12" s="8">
        <v>357</v>
      </c>
      <c r="O12" s="20">
        <v>1014</v>
      </c>
      <c r="P12" s="8">
        <v>7315</v>
      </c>
    </row>
    <row r="13" spans="1:16" ht="25" customHeight="1" x14ac:dyDescent="0.35">
      <c r="A13" s="15" t="s">
        <v>354</v>
      </c>
      <c r="B13" s="8">
        <v>34</v>
      </c>
      <c r="C13" s="8">
        <v>60</v>
      </c>
      <c r="D13" s="8">
        <v>48</v>
      </c>
      <c r="E13" s="20">
        <v>161</v>
      </c>
      <c r="F13" s="20">
        <v>247</v>
      </c>
      <c r="G13" s="8">
        <v>132</v>
      </c>
      <c r="H13" s="8">
        <v>68</v>
      </c>
      <c r="I13" s="8">
        <v>64</v>
      </c>
      <c r="J13" s="20">
        <v>110</v>
      </c>
      <c r="K13" s="8">
        <v>68</v>
      </c>
      <c r="L13" s="8">
        <v>73</v>
      </c>
      <c r="M13" s="8">
        <v>131</v>
      </c>
      <c r="N13" s="8">
        <v>140</v>
      </c>
      <c r="O13" s="20">
        <v>224</v>
      </c>
      <c r="P13" s="8">
        <v>1560</v>
      </c>
    </row>
    <row r="14" spans="1:16" ht="25" customHeight="1" x14ac:dyDescent="0.35">
      <c r="A14" s="15" t="s">
        <v>355</v>
      </c>
      <c r="B14" s="8">
        <v>29</v>
      </c>
      <c r="C14" s="8">
        <v>86</v>
      </c>
      <c r="D14" s="8">
        <v>33</v>
      </c>
      <c r="E14" s="20">
        <v>284</v>
      </c>
      <c r="F14" s="20">
        <v>609</v>
      </c>
      <c r="G14" s="8">
        <v>430</v>
      </c>
      <c r="H14" s="8">
        <v>155</v>
      </c>
      <c r="I14" s="8">
        <v>157</v>
      </c>
      <c r="J14" s="20">
        <v>245</v>
      </c>
      <c r="K14" s="8">
        <v>126</v>
      </c>
      <c r="L14" s="8">
        <v>111</v>
      </c>
      <c r="M14" s="8">
        <v>235</v>
      </c>
      <c r="N14" s="8">
        <v>364</v>
      </c>
      <c r="O14" s="20">
        <v>446</v>
      </c>
      <c r="P14" s="8">
        <v>3310</v>
      </c>
    </row>
    <row r="15" spans="1:16" ht="25" customHeight="1" x14ac:dyDescent="0.35">
      <c r="A15" s="15" t="s">
        <v>357</v>
      </c>
      <c r="B15" s="8" t="s">
        <v>406</v>
      </c>
      <c r="C15" s="8">
        <v>15</v>
      </c>
      <c r="D15" s="8" t="s">
        <v>406</v>
      </c>
      <c r="E15" s="20">
        <v>107</v>
      </c>
      <c r="F15" s="20">
        <v>216</v>
      </c>
      <c r="G15" s="8">
        <v>228</v>
      </c>
      <c r="H15" s="8">
        <v>143</v>
      </c>
      <c r="I15" s="8">
        <v>358</v>
      </c>
      <c r="J15" s="20">
        <v>131</v>
      </c>
      <c r="K15" s="8">
        <v>22</v>
      </c>
      <c r="L15" s="8">
        <v>70</v>
      </c>
      <c r="M15" s="8">
        <v>109</v>
      </c>
      <c r="N15" s="8">
        <v>86</v>
      </c>
      <c r="O15" s="20">
        <v>152</v>
      </c>
      <c r="P15" s="8">
        <v>1645</v>
      </c>
    </row>
    <row r="16" spans="1:16" ht="25" customHeight="1" x14ac:dyDescent="0.35">
      <c r="A16" s="15" t="s">
        <v>358</v>
      </c>
      <c r="B16" s="8">
        <v>27</v>
      </c>
      <c r="C16" s="8">
        <v>13</v>
      </c>
      <c r="D16" s="8">
        <v>23</v>
      </c>
      <c r="E16" s="20">
        <v>87</v>
      </c>
      <c r="F16" s="20">
        <v>77</v>
      </c>
      <c r="G16" s="8">
        <v>69</v>
      </c>
      <c r="H16" s="8">
        <v>25</v>
      </c>
      <c r="I16" s="8">
        <v>23</v>
      </c>
      <c r="J16" s="20">
        <v>45</v>
      </c>
      <c r="K16" s="8">
        <v>26</v>
      </c>
      <c r="L16" s="8">
        <v>36</v>
      </c>
      <c r="M16" s="8">
        <v>51</v>
      </c>
      <c r="N16" s="8">
        <v>54</v>
      </c>
      <c r="O16" s="20">
        <v>65</v>
      </c>
      <c r="P16" s="8">
        <v>621</v>
      </c>
    </row>
    <row r="17" spans="1:16" ht="25" customHeight="1" x14ac:dyDescent="0.35">
      <c r="A17" s="15" t="s">
        <v>359</v>
      </c>
      <c r="B17" s="8">
        <v>7</v>
      </c>
      <c r="C17" s="8">
        <v>46</v>
      </c>
      <c r="D17" s="8">
        <v>7</v>
      </c>
      <c r="E17" s="20">
        <v>159</v>
      </c>
      <c r="F17" s="20">
        <v>189</v>
      </c>
      <c r="G17" s="8">
        <v>188</v>
      </c>
      <c r="H17" s="8">
        <v>55</v>
      </c>
      <c r="I17" s="8">
        <v>59</v>
      </c>
      <c r="J17" s="20">
        <v>97</v>
      </c>
      <c r="K17" s="8">
        <v>46</v>
      </c>
      <c r="L17" s="8">
        <v>48</v>
      </c>
      <c r="M17" s="8">
        <v>99</v>
      </c>
      <c r="N17" s="8">
        <v>146</v>
      </c>
      <c r="O17" s="20">
        <v>196</v>
      </c>
      <c r="P17" s="8">
        <v>1342</v>
      </c>
    </row>
    <row r="18" spans="1:16" ht="25" customHeight="1" x14ac:dyDescent="0.4">
      <c r="A18" s="16" t="s">
        <v>361</v>
      </c>
      <c r="B18" s="9">
        <v>113</v>
      </c>
      <c r="C18" s="9">
        <v>326</v>
      </c>
      <c r="D18" s="9">
        <v>160</v>
      </c>
      <c r="E18" s="21">
        <v>1401</v>
      </c>
      <c r="F18" s="21">
        <v>2366</v>
      </c>
      <c r="G18" s="9">
        <v>2240</v>
      </c>
      <c r="H18" s="9">
        <v>1084</v>
      </c>
      <c r="I18" s="9">
        <v>1514</v>
      </c>
      <c r="J18" s="21">
        <v>1349</v>
      </c>
      <c r="K18" s="9">
        <v>511</v>
      </c>
      <c r="L18" s="9">
        <v>543</v>
      </c>
      <c r="M18" s="9">
        <v>942</v>
      </c>
      <c r="N18" s="9">
        <v>1147</v>
      </c>
      <c r="O18" s="21">
        <v>2097</v>
      </c>
      <c r="P18" s="9">
        <v>15793</v>
      </c>
    </row>
    <row r="19" spans="1:16" ht="25" customHeight="1" x14ac:dyDescent="0.35">
      <c r="A19" s="15" t="s">
        <v>362</v>
      </c>
      <c r="B19" s="8">
        <v>21</v>
      </c>
      <c r="C19" s="8">
        <v>33</v>
      </c>
      <c r="D19" s="8">
        <v>18</v>
      </c>
      <c r="E19" s="20">
        <v>176</v>
      </c>
      <c r="F19" s="20">
        <v>276</v>
      </c>
      <c r="G19" s="8">
        <v>265</v>
      </c>
      <c r="H19" s="8">
        <v>104</v>
      </c>
      <c r="I19" s="8">
        <v>165</v>
      </c>
      <c r="J19" s="20">
        <v>191</v>
      </c>
      <c r="K19" s="8">
        <v>63</v>
      </c>
      <c r="L19" s="8">
        <v>77</v>
      </c>
      <c r="M19" s="8">
        <v>140</v>
      </c>
      <c r="N19" s="8">
        <v>173</v>
      </c>
      <c r="O19" s="20">
        <v>317</v>
      </c>
      <c r="P19" s="8">
        <v>2019</v>
      </c>
    </row>
    <row r="20" spans="1:16" ht="25" customHeight="1" x14ac:dyDescent="0.35">
      <c r="A20" s="15" t="s">
        <v>363</v>
      </c>
      <c r="B20" s="8">
        <v>52</v>
      </c>
      <c r="C20" s="8">
        <v>51</v>
      </c>
      <c r="D20" s="8">
        <v>106</v>
      </c>
      <c r="E20" s="20">
        <v>249</v>
      </c>
      <c r="F20" s="20">
        <v>269</v>
      </c>
      <c r="G20" s="8">
        <v>101</v>
      </c>
      <c r="H20" s="8">
        <v>57</v>
      </c>
      <c r="I20" s="8">
        <v>39</v>
      </c>
      <c r="J20" s="20">
        <v>88</v>
      </c>
      <c r="K20" s="8">
        <v>54</v>
      </c>
      <c r="L20" s="8">
        <v>65</v>
      </c>
      <c r="M20" s="8">
        <v>98</v>
      </c>
      <c r="N20" s="8">
        <v>90</v>
      </c>
      <c r="O20" s="20">
        <v>124</v>
      </c>
      <c r="P20" s="8">
        <v>1443</v>
      </c>
    </row>
    <row r="21" spans="1:16" ht="25" customHeight="1" x14ac:dyDescent="0.35">
      <c r="A21" s="15" t="s">
        <v>364</v>
      </c>
      <c r="B21" s="8">
        <v>22</v>
      </c>
      <c r="C21" s="8">
        <v>41</v>
      </c>
      <c r="D21" s="8">
        <v>26</v>
      </c>
      <c r="E21" s="20">
        <v>164</v>
      </c>
      <c r="F21" s="20">
        <v>165</v>
      </c>
      <c r="G21" s="8">
        <v>105</v>
      </c>
      <c r="H21" s="8">
        <v>41</v>
      </c>
      <c r="I21" s="8">
        <v>34</v>
      </c>
      <c r="J21" s="20">
        <v>73</v>
      </c>
      <c r="K21" s="8">
        <v>30</v>
      </c>
      <c r="L21" s="8">
        <v>52</v>
      </c>
      <c r="M21" s="8">
        <v>60</v>
      </c>
      <c r="N21" s="8">
        <v>74</v>
      </c>
      <c r="O21" s="20">
        <v>92</v>
      </c>
      <c r="P21" s="8">
        <v>979</v>
      </c>
    </row>
    <row r="22" spans="1:16" ht="25" customHeight="1" x14ac:dyDescent="0.35">
      <c r="A22" s="15" t="s">
        <v>366</v>
      </c>
      <c r="B22" s="8" t="s">
        <v>406</v>
      </c>
      <c r="C22" s="8">
        <v>14</v>
      </c>
      <c r="D22" s="8" t="s">
        <v>406</v>
      </c>
      <c r="E22" s="20">
        <v>126</v>
      </c>
      <c r="F22" s="20">
        <v>210</v>
      </c>
      <c r="G22" s="8">
        <v>162</v>
      </c>
      <c r="H22" s="8">
        <v>51</v>
      </c>
      <c r="I22" s="8">
        <v>156</v>
      </c>
      <c r="J22" s="20">
        <v>72</v>
      </c>
      <c r="K22" s="8">
        <v>30</v>
      </c>
      <c r="L22" s="8">
        <v>36</v>
      </c>
      <c r="M22" s="8">
        <v>119</v>
      </c>
      <c r="N22" s="8">
        <v>84</v>
      </c>
      <c r="O22" s="20">
        <v>117</v>
      </c>
      <c r="P22" s="8">
        <v>1211</v>
      </c>
    </row>
    <row r="23" spans="1:16" ht="25" customHeight="1" x14ac:dyDescent="0.35">
      <c r="A23" s="15" t="s">
        <v>367</v>
      </c>
      <c r="B23" s="8">
        <v>42</v>
      </c>
      <c r="C23" s="8">
        <v>35</v>
      </c>
      <c r="D23" s="8">
        <v>47</v>
      </c>
      <c r="E23" s="20">
        <v>180</v>
      </c>
      <c r="F23" s="20">
        <v>178</v>
      </c>
      <c r="G23" s="8">
        <v>93</v>
      </c>
      <c r="H23" s="8">
        <v>41</v>
      </c>
      <c r="I23" s="8">
        <v>35</v>
      </c>
      <c r="J23" s="20">
        <v>71</v>
      </c>
      <c r="K23" s="8">
        <v>45</v>
      </c>
      <c r="L23" s="8">
        <v>48</v>
      </c>
      <c r="M23" s="8">
        <v>94</v>
      </c>
      <c r="N23" s="8">
        <v>67</v>
      </c>
      <c r="O23" s="20">
        <v>137</v>
      </c>
      <c r="P23" s="8">
        <v>1113</v>
      </c>
    </row>
    <row r="24" spans="1:16" ht="25" customHeight="1" x14ac:dyDescent="0.35">
      <c r="A24" s="15" t="s">
        <v>368</v>
      </c>
      <c r="B24" s="8">
        <v>5</v>
      </c>
      <c r="C24" s="8">
        <v>35</v>
      </c>
      <c r="D24" s="8">
        <v>11</v>
      </c>
      <c r="E24" s="20">
        <v>116</v>
      </c>
      <c r="F24" s="20">
        <v>160</v>
      </c>
      <c r="G24" s="8">
        <v>104</v>
      </c>
      <c r="H24" s="8">
        <v>35</v>
      </c>
      <c r="I24" s="8">
        <v>34</v>
      </c>
      <c r="J24" s="20">
        <v>80</v>
      </c>
      <c r="K24" s="8">
        <v>25</v>
      </c>
      <c r="L24" s="8">
        <v>38</v>
      </c>
      <c r="M24" s="8">
        <v>60</v>
      </c>
      <c r="N24" s="8">
        <v>67</v>
      </c>
      <c r="O24" s="20">
        <v>91</v>
      </c>
      <c r="P24" s="8">
        <v>861</v>
      </c>
    </row>
    <row r="25" spans="1:16" ht="25" customHeight="1" x14ac:dyDescent="0.4">
      <c r="A25" s="16" t="s">
        <v>370</v>
      </c>
      <c r="B25" s="9">
        <v>148</v>
      </c>
      <c r="C25" s="9">
        <v>209</v>
      </c>
      <c r="D25" s="9">
        <v>236</v>
      </c>
      <c r="E25" s="21">
        <v>1011</v>
      </c>
      <c r="F25" s="21">
        <v>1258</v>
      </c>
      <c r="G25" s="9">
        <v>830</v>
      </c>
      <c r="H25" s="9">
        <v>329</v>
      </c>
      <c r="I25" s="9">
        <v>463</v>
      </c>
      <c r="J25" s="21">
        <v>575</v>
      </c>
      <c r="K25" s="9">
        <v>247</v>
      </c>
      <c r="L25" s="9">
        <v>316</v>
      </c>
      <c r="M25" s="9">
        <v>571</v>
      </c>
      <c r="N25" s="9">
        <v>555</v>
      </c>
      <c r="O25" s="21">
        <v>878</v>
      </c>
      <c r="P25" s="9">
        <v>7626</v>
      </c>
    </row>
    <row r="26" spans="1:16" ht="25" customHeight="1" x14ac:dyDescent="0.35">
      <c r="A26" s="99" t="s">
        <v>372</v>
      </c>
      <c r="B26" s="8">
        <v>57</v>
      </c>
      <c r="C26" s="8">
        <v>105</v>
      </c>
      <c r="D26" s="8">
        <v>90</v>
      </c>
      <c r="E26" s="20">
        <v>481</v>
      </c>
      <c r="F26" s="20">
        <v>803</v>
      </c>
      <c r="G26" s="8">
        <v>1925</v>
      </c>
      <c r="H26" s="8">
        <v>612</v>
      </c>
      <c r="I26" s="8">
        <v>167</v>
      </c>
      <c r="J26" s="20">
        <v>285</v>
      </c>
      <c r="K26" s="8">
        <v>71</v>
      </c>
      <c r="L26" s="8">
        <v>157</v>
      </c>
      <c r="M26" s="8">
        <v>255</v>
      </c>
      <c r="N26" s="8">
        <v>221</v>
      </c>
      <c r="O26" s="20">
        <v>458</v>
      </c>
      <c r="P26" s="8">
        <v>5687</v>
      </c>
    </row>
    <row r="27" spans="1:16" ht="25" customHeight="1" x14ac:dyDescent="0.35">
      <c r="A27" s="99" t="s">
        <v>373</v>
      </c>
      <c r="B27" s="8">
        <v>23</v>
      </c>
      <c r="C27" s="8">
        <v>29</v>
      </c>
      <c r="D27" s="8">
        <v>20</v>
      </c>
      <c r="E27" s="20">
        <v>151</v>
      </c>
      <c r="F27" s="20">
        <v>330</v>
      </c>
      <c r="G27" s="8">
        <v>935</v>
      </c>
      <c r="H27" s="8">
        <v>366</v>
      </c>
      <c r="I27" s="8">
        <v>115</v>
      </c>
      <c r="J27" s="20">
        <v>65</v>
      </c>
      <c r="K27" s="8">
        <v>39</v>
      </c>
      <c r="L27" s="8">
        <v>72</v>
      </c>
      <c r="M27" s="8">
        <v>61</v>
      </c>
      <c r="N27" s="8">
        <v>64</v>
      </c>
      <c r="O27" s="20">
        <v>185</v>
      </c>
      <c r="P27" s="8">
        <v>2455</v>
      </c>
    </row>
    <row r="28" spans="1:16" ht="25" customHeight="1" x14ac:dyDescent="0.4">
      <c r="A28" s="16" t="s">
        <v>374</v>
      </c>
      <c r="B28" s="9">
        <v>80</v>
      </c>
      <c r="C28" s="9">
        <v>134</v>
      </c>
      <c r="D28" s="9">
        <v>110</v>
      </c>
      <c r="E28" s="21">
        <v>632</v>
      </c>
      <c r="F28" s="21">
        <v>1133</v>
      </c>
      <c r="G28" s="9">
        <v>2860</v>
      </c>
      <c r="H28" s="9">
        <v>978</v>
      </c>
      <c r="I28" s="9">
        <v>282</v>
      </c>
      <c r="J28" s="21">
        <v>350</v>
      </c>
      <c r="K28" s="9">
        <v>110</v>
      </c>
      <c r="L28" s="9">
        <v>229</v>
      </c>
      <c r="M28" s="9">
        <v>316</v>
      </c>
      <c r="N28" s="9">
        <v>285</v>
      </c>
      <c r="O28" s="21">
        <v>643</v>
      </c>
      <c r="P28" s="9">
        <v>8142</v>
      </c>
    </row>
    <row r="29" spans="1:16" ht="25" customHeight="1" x14ac:dyDescent="0.4">
      <c r="A29" s="97" t="s">
        <v>566</v>
      </c>
      <c r="B29" s="9">
        <v>341</v>
      </c>
      <c r="C29" s="9">
        <v>669</v>
      </c>
      <c r="D29" s="9">
        <v>506</v>
      </c>
      <c r="E29" s="21">
        <v>3044</v>
      </c>
      <c r="F29" s="21">
        <v>4757</v>
      </c>
      <c r="G29" s="9">
        <v>5930</v>
      </c>
      <c r="H29" s="9">
        <v>2391</v>
      </c>
      <c r="I29" s="9">
        <v>2259</v>
      </c>
      <c r="J29" s="21">
        <v>2274</v>
      </c>
      <c r="K29" s="9">
        <v>868</v>
      </c>
      <c r="L29" s="9">
        <v>1088</v>
      </c>
      <c r="M29" s="9">
        <v>1829</v>
      </c>
      <c r="N29" s="9">
        <v>1987</v>
      </c>
      <c r="O29" s="21">
        <v>3618</v>
      </c>
      <c r="P29" s="9">
        <v>31561</v>
      </c>
    </row>
    <row r="30" spans="1:16" ht="25" customHeight="1" x14ac:dyDescent="0.4">
      <c r="A30" s="16" t="s">
        <v>567</v>
      </c>
      <c r="B30" s="9">
        <v>1843</v>
      </c>
      <c r="C30" s="9">
        <v>1905</v>
      </c>
      <c r="D30" s="9">
        <v>3587</v>
      </c>
      <c r="E30" s="21">
        <v>9822</v>
      </c>
      <c r="F30" s="21">
        <v>10768</v>
      </c>
      <c r="G30" s="9">
        <v>8523</v>
      </c>
      <c r="H30" s="9">
        <v>3387</v>
      </c>
      <c r="I30" s="9">
        <v>3177</v>
      </c>
      <c r="J30" s="21">
        <v>4253</v>
      </c>
      <c r="K30" s="9">
        <v>1905</v>
      </c>
      <c r="L30" s="9">
        <v>2614</v>
      </c>
      <c r="M30" s="9">
        <v>3827</v>
      </c>
      <c r="N30" s="9">
        <v>4066</v>
      </c>
      <c r="O30" s="21">
        <v>7096</v>
      </c>
      <c r="P30" s="9">
        <v>66773</v>
      </c>
    </row>
    <row r="31" spans="1:16" x14ac:dyDescent="0.35">
      <c r="P31" s="67"/>
    </row>
  </sheetData>
  <hyperlinks>
    <hyperlink ref="A5" r:id="rId1" xr:uid="{00000000-0004-0000-1600-000000000000}"/>
  </hyperlinks>
  <pageMargins left="0.7" right="0.7" top="0.75" bottom="0.75" header="0.3" footer="0.3"/>
  <pageSetup paperSize="9" orientation="portrait" horizontalDpi="300" verticalDpi="300"/>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35D7A-6111-4E58-8735-DA30ABC66416}">
  <dimension ref="A1:P18"/>
  <sheetViews>
    <sheetView showGridLines="0" zoomScaleNormal="100" workbookViewId="0"/>
  </sheetViews>
  <sheetFormatPr defaultColWidth="9" defaultRowHeight="15" x14ac:dyDescent="0.35"/>
  <cols>
    <col min="1" max="1" width="50.75" customWidth="1"/>
    <col min="2" max="16" width="15.5625" style="6" customWidth="1"/>
  </cols>
  <sheetData>
    <row r="1" spans="1:16" ht="20.149999999999999" x14ac:dyDescent="0.5">
      <c r="A1" s="106" t="s">
        <v>569</v>
      </c>
      <c r="B1" s="159"/>
      <c r="C1" s="159"/>
      <c r="D1" s="159"/>
      <c r="E1" s="159"/>
      <c r="F1" s="160"/>
      <c r="G1" s="160"/>
      <c r="H1" s="160"/>
      <c r="I1" s="160"/>
      <c r="J1" s="160"/>
      <c r="K1" s="160"/>
      <c r="L1" s="160"/>
      <c r="M1" s="160"/>
      <c r="N1" s="160"/>
      <c r="O1" s="160"/>
      <c r="P1" s="160"/>
    </row>
    <row r="2" spans="1:16" x14ac:dyDescent="0.35">
      <c r="A2" t="s">
        <v>34</v>
      </c>
      <c r="B2" s="24"/>
      <c r="C2" s="24"/>
      <c r="D2" s="24"/>
      <c r="E2" s="24"/>
      <c r="F2" s="24"/>
      <c r="G2" s="24"/>
      <c r="H2" s="24"/>
      <c r="I2" s="24"/>
      <c r="J2" s="24"/>
      <c r="K2" s="24"/>
      <c r="L2" s="24"/>
      <c r="M2" s="24"/>
      <c r="N2" s="24"/>
      <c r="O2" s="24"/>
      <c r="P2" s="24"/>
    </row>
    <row r="3" spans="1:16" x14ac:dyDescent="0.35">
      <c r="A3" t="s">
        <v>160</v>
      </c>
      <c r="C3" s="24"/>
      <c r="D3" s="24"/>
      <c r="E3" s="24"/>
      <c r="F3" s="24"/>
      <c r="G3" s="24"/>
      <c r="H3" s="24"/>
      <c r="I3" s="24"/>
      <c r="J3" s="24"/>
      <c r="K3" s="24"/>
      <c r="L3" s="24"/>
      <c r="M3" s="24"/>
      <c r="N3" s="24"/>
      <c r="O3" s="24"/>
      <c r="P3" s="24"/>
    </row>
    <row r="4" spans="1:16" x14ac:dyDescent="0.35">
      <c r="A4" s="156" t="s">
        <v>570</v>
      </c>
      <c r="B4" s="24"/>
      <c r="C4" s="24"/>
      <c r="D4" s="24"/>
      <c r="E4" s="24"/>
      <c r="F4" s="24"/>
      <c r="G4" s="24"/>
      <c r="H4" s="24"/>
      <c r="I4" s="24"/>
      <c r="J4" s="24"/>
      <c r="K4" s="24"/>
      <c r="L4" s="24"/>
      <c r="M4" s="24"/>
      <c r="N4" s="24"/>
      <c r="O4" s="24"/>
      <c r="P4" s="24"/>
    </row>
    <row r="5" spans="1:16" ht="15.45" thickBot="1" x14ac:dyDescent="0.4">
      <c r="A5" s="156" t="s">
        <v>161</v>
      </c>
      <c r="B5" s="24"/>
      <c r="C5" s="24"/>
      <c r="D5" s="24"/>
      <c r="E5" s="24"/>
      <c r="F5" s="24"/>
      <c r="G5" s="24"/>
      <c r="H5" s="24"/>
      <c r="I5" s="24"/>
      <c r="J5" s="24"/>
      <c r="K5" s="24"/>
      <c r="L5" s="24"/>
      <c r="M5" s="24"/>
      <c r="N5" s="24"/>
      <c r="O5" s="24"/>
      <c r="P5" s="24"/>
    </row>
    <row r="6" spans="1:16" ht="62.15" thickBot="1" x14ac:dyDescent="0.45">
      <c r="A6" s="161" t="s">
        <v>571</v>
      </c>
      <c r="B6" s="162" t="s">
        <v>484</v>
      </c>
      <c r="C6" s="162" t="s">
        <v>485</v>
      </c>
      <c r="D6" s="162" t="s">
        <v>486</v>
      </c>
      <c r="E6" s="163" t="s">
        <v>487</v>
      </c>
      <c r="F6" s="163" t="s">
        <v>488</v>
      </c>
      <c r="G6" s="162" t="s">
        <v>489</v>
      </c>
      <c r="H6" s="162" t="s">
        <v>490</v>
      </c>
      <c r="I6" s="162" t="s">
        <v>491</v>
      </c>
      <c r="J6" s="163" t="s">
        <v>492</v>
      </c>
      <c r="K6" s="162" t="s">
        <v>493</v>
      </c>
      <c r="L6" s="162" t="s">
        <v>494</v>
      </c>
      <c r="M6" s="162" t="s">
        <v>495</v>
      </c>
      <c r="N6" s="162" t="s">
        <v>496</v>
      </c>
      <c r="O6" s="163" t="s">
        <v>497</v>
      </c>
      <c r="P6" s="164" t="s">
        <v>498</v>
      </c>
    </row>
    <row r="7" spans="1:16" ht="24.75" customHeight="1" x14ac:dyDescent="0.35">
      <c r="A7" s="157" t="s">
        <v>444</v>
      </c>
      <c r="B7" s="24">
        <v>5</v>
      </c>
      <c r="C7" s="24" t="s">
        <v>406</v>
      </c>
      <c r="D7" s="24">
        <v>159</v>
      </c>
      <c r="E7" s="209">
        <v>198</v>
      </c>
      <c r="F7" s="209">
        <v>364</v>
      </c>
      <c r="G7" s="24">
        <v>682</v>
      </c>
      <c r="H7" s="24">
        <v>180</v>
      </c>
      <c r="I7" s="24">
        <v>98</v>
      </c>
      <c r="J7" s="209">
        <v>100</v>
      </c>
      <c r="K7" s="24">
        <v>14</v>
      </c>
      <c r="L7" s="24">
        <v>6</v>
      </c>
      <c r="M7" s="24">
        <v>15</v>
      </c>
      <c r="N7" s="24">
        <v>26</v>
      </c>
      <c r="O7" s="210">
        <v>20</v>
      </c>
      <c r="P7" s="153">
        <v>1875</v>
      </c>
    </row>
    <row r="8" spans="1:16" ht="24.75" customHeight="1" x14ac:dyDescent="0.35">
      <c r="A8" s="157" t="s">
        <v>445</v>
      </c>
      <c r="B8" s="24">
        <v>348</v>
      </c>
      <c r="C8" s="24">
        <v>719</v>
      </c>
      <c r="D8" s="8">
        <v>1911</v>
      </c>
      <c r="E8" s="20">
        <v>3506</v>
      </c>
      <c r="F8" s="20">
        <v>2992</v>
      </c>
      <c r="G8" s="8">
        <v>1102</v>
      </c>
      <c r="H8" s="24">
        <v>442</v>
      </c>
      <c r="I8" s="24">
        <v>462</v>
      </c>
      <c r="J8" s="209">
        <v>788</v>
      </c>
      <c r="K8" s="24">
        <v>611</v>
      </c>
      <c r="L8" s="24">
        <v>605</v>
      </c>
      <c r="M8" s="8">
        <v>1216</v>
      </c>
      <c r="N8" s="8">
        <v>1052</v>
      </c>
      <c r="O8" s="20">
        <v>1275</v>
      </c>
      <c r="P8" s="153">
        <v>17029</v>
      </c>
    </row>
    <row r="9" spans="1:16" ht="24.75" customHeight="1" x14ac:dyDescent="0.35">
      <c r="A9" s="157" t="s">
        <v>572</v>
      </c>
      <c r="B9" s="8">
        <v>1263</v>
      </c>
      <c r="C9" s="24">
        <v>805</v>
      </c>
      <c r="D9" s="8">
        <v>2603</v>
      </c>
      <c r="E9" s="20">
        <v>3838</v>
      </c>
      <c r="F9" s="20">
        <v>1416</v>
      </c>
      <c r="G9" s="24">
        <v>512</v>
      </c>
      <c r="H9" s="24">
        <v>94</v>
      </c>
      <c r="I9" s="24">
        <v>199</v>
      </c>
      <c r="J9" s="209">
        <v>757</v>
      </c>
      <c r="K9" s="24">
        <v>376</v>
      </c>
      <c r="L9" s="8">
        <v>1005</v>
      </c>
      <c r="M9" s="8">
        <v>1102</v>
      </c>
      <c r="N9" s="24">
        <v>909</v>
      </c>
      <c r="O9" s="20">
        <v>1608</v>
      </c>
      <c r="P9" s="153">
        <v>16487</v>
      </c>
    </row>
    <row r="10" spans="1:16" ht="24.75" customHeight="1" x14ac:dyDescent="0.35">
      <c r="A10" s="157" t="s">
        <v>449</v>
      </c>
      <c r="B10" s="24">
        <v>65</v>
      </c>
      <c r="C10" s="24">
        <v>92</v>
      </c>
      <c r="D10" s="24">
        <v>271</v>
      </c>
      <c r="E10" s="209">
        <v>641</v>
      </c>
      <c r="F10" s="209">
        <v>994</v>
      </c>
      <c r="G10" s="24">
        <v>402</v>
      </c>
      <c r="H10" s="24">
        <v>203</v>
      </c>
      <c r="I10" s="24">
        <v>173</v>
      </c>
      <c r="J10" s="209">
        <v>258</v>
      </c>
      <c r="K10" s="24">
        <v>132</v>
      </c>
      <c r="L10" s="24">
        <v>83</v>
      </c>
      <c r="M10" s="24">
        <v>249</v>
      </c>
      <c r="N10" s="24">
        <v>230</v>
      </c>
      <c r="O10" s="209">
        <v>257</v>
      </c>
      <c r="P10" s="153">
        <v>4050</v>
      </c>
    </row>
    <row r="11" spans="1:16" ht="24.75" customHeight="1" x14ac:dyDescent="0.35">
      <c r="A11" s="157" t="s">
        <v>573</v>
      </c>
      <c r="B11" s="24" t="s">
        <v>406</v>
      </c>
      <c r="C11" s="24">
        <v>0</v>
      </c>
      <c r="D11" s="24" t="s">
        <v>406</v>
      </c>
      <c r="E11" s="209">
        <v>176</v>
      </c>
      <c r="F11" s="20">
        <v>1222</v>
      </c>
      <c r="G11" s="24">
        <v>395</v>
      </c>
      <c r="H11" s="24">
        <v>260</v>
      </c>
      <c r="I11" s="24">
        <v>189</v>
      </c>
      <c r="J11" s="209">
        <v>292</v>
      </c>
      <c r="K11" s="24">
        <v>187</v>
      </c>
      <c r="L11" s="24" t="s">
        <v>406</v>
      </c>
      <c r="M11" s="24">
        <v>161</v>
      </c>
      <c r="N11" s="24">
        <v>208</v>
      </c>
      <c r="O11" s="209">
        <v>323</v>
      </c>
      <c r="P11" s="153">
        <v>3419</v>
      </c>
    </row>
    <row r="12" spans="1:16" ht="24.75" customHeight="1" x14ac:dyDescent="0.35">
      <c r="A12" s="157" t="s">
        <v>451</v>
      </c>
      <c r="B12" s="24">
        <v>0</v>
      </c>
      <c r="C12" s="24">
        <v>26</v>
      </c>
      <c r="D12" s="24" t="s">
        <v>406</v>
      </c>
      <c r="E12" s="209">
        <v>196</v>
      </c>
      <c r="F12" s="20">
        <v>1063</v>
      </c>
      <c r="G12" s="24">
        <v>261</v>
      </c>
      <c r="H12" s="24">
        <v>160</v>
      </c>
      <c r="I12" s="24">
        <v>238</v>
      </c>
      <c r="J12" s="209">
        <v>236</v>
      </c>
      <c r="K12" s="24">
        <v>98</v>
      </c>
      <c r="L12" s="24" t="s">
        <v>406</v>
      </c>
      <c r="M12" s="24">
        <v>43</v>
      </c>
      <c r="N12" s="24">
        <v>33</v>
      </c>
      <c r="O12" s="209">
        <v>42</v>
      </c>
      <c r="P12" s="153">
        <v>2405</v>
      </c>
    </row>
    <row r="13" spans="1:16" ht="24.75" customHeight="1" x14ac:dyDescent="0.35">
      <c r="A13" s="157" t="s">
        <v>452</v>
      </c>
      <c r="B13" s="24" t="s">
        <v>406</v>
      </c>
      <c r="C13" s="24">
        <v>10</v>
      </c>
      <c r="D13" s="24">
        <v>0</v>
      </c>
      <c r="E13" s="209">
        <v>6</v>
      </c>
      <c r="F13" s="209">
        <v>12</v>
      </c>
      <c r="G13" s="24" t="s">
        <v>406</v>
      </c>
      <c r="H13" s="24">
        <v>8</v>
      </c>
      <c r="I13" s="24">
        <v>8</v>
      </c>
      <c r="J13" s="209">
        <v>10</v>
      </c>
      <c r="K13" s="24">
        <v>22</v>
      </c>
      <c r="L13" s="24">
        <v>26</v>
      </c>
      <c r="M13" s="24">
        <v>68</v>
      </c>
      <c r="N13" s="24">
        <v>146</v>
      </c>
      <c r="O13" s="209">
        <v>257</v>
      </c>
      <c r="P13" s="17">
        <v>580</v>
      </c>
    </row>
    <row r="14" spans="1:16" ht="24.75" customHeight="1" x14ac:dyDescent="0.35">
      <c r="A14" s="157" t="s">
        <v>574</v>
      </c>
      <c r="B14" s="24" t="s">
        <v>406</v>
      </c>
      <c r="C14" s="24" t="s">
        <v>406</v>
      </c>
      <c r="D14" s="24">
        <v>83</v>
      </c>
      <c r="E14" s="209">
        <v>175</v>
      </c>
      <c r="F14" s="209">
        <v>98</v>
      </c>
      <c r="G14" s="24">
        <v>85</v>
      </c>
      <c r="H14" s="24">
        <v>35</v>
      </c>
      <c r="I14" s="24">
        <v>25</v>
      </c>
      <c r="J14" s="209">
        <v>17</v>
      </c>
      <c r="K14" s="24">
        <v>10</v>
      </c>
      <c r="L14" s="24">
        <v>37</v>
      </c>
      <c r="M14" s="24">
        <v>29</v>
      </c>
      <c r="N14" s="24">
        <v>21</v>
      </c>
      <c r="O14" s="209">
        <v>23</v>
      </c>
      <c r="P14" s="17">
        <v>650</v>
      </c>
    </row>
    <row r="15" spans="1:16" ht="24.75" customHeight="1" x14ac:dyDescent="0.35">
      <c r="A15" s="157" t="s">
        <v>454</v>
      </c>
      <c r="B15" s="24" t="s">
        <v>406</v>
      </c>
      <c r="C15" s="24">
        <v>6</v>
      </c>
      <c r="D15" s="24">
        <v>18</v>
      </c>
      <c r="E15" s="209">
        <v>88</v>
      </c>
      <c r="F15" s="209">
        <v>76</v>
      </c>
      <c r="G15" s="24" t="s">
        <v>406</v>
      </c>
      <c r="H15" s="24">
        <v>9</v>
      </c>
      <c r="I15" s="24">
        <v>16</v>
      </c>
      <c r="J15" s="209">
        <v>19</v>
      </c>
      <c r="K15" s="24">
        <v>12</v>
      </c>
      <c r="L15" s="24">
        <v>17</v>
      </c>
      <c r="M15" s="24">
        <v>12</v>
      </c>
      <c r="N15" s="24">
        <v>14</v>
      </c>
      <c r="O15" s="209">
        <v>30</v>
      </c>
      <c r="P15" s="17">
        <v>332</v>
      </c>
    </row>
    <row r="16" spans="1:16" ht="24.75" customHeight="1" x14ac:dyDescent="0.35">
      <c r="A16" s="157" t="s">
        <v>455</v>
      </c>
      <c r="B16" s="24">
        <v>10</v>
      </c>
      <c r="C16" s="24">
        <v>19</v>
      </c>
      <c r="D16" s="24">
        <v>76</v>
      </c>
      <c r="E16" s="209">
        <v>136</v>
      </c>
      <c r="F16" s="209">
        <v>94</v>
      </c>
      <c r="G16" s="24">
        <v>60</v>
      </c>
      <c r="H16" s="24">
        <v>30</v>
      </c>
      <c r="I16" s="24">
        <v>33</v>
      </c>
      <c r="J16" s="209">
        <v>50</v>
      </c>
      <c r="K16" s="24">
        <v>20</v>
      </c>
      <c r="L16" s="24">
        <v>27</v>
      </c>
      <c r="M16" s="24">
        <v>45</v>
      </c>
      <c r="N16" s="24">
        <v>44</v>
      </c>
      <c r="O16" s="209">
        <v>68</v>
      </c>
      <c r="P16" s="17">
        <v>712</v>
      </c>
    </row>
    <row r="17" spans="1:16" ht="24.75" customHeight="1" x14ac:dyDescent="0.35">
      <c r="A17" s="157" t="s">
        <v>456</v>
      </c>
      <c r="B17" s="24">
        <v>6</v>
      </c>
      <c r="C17" s="24">
        <v>43</v>
      </c>
      <c r="D17" s="24">
        <v>109</v>
      </c>
      <c r="E17" s="209">
        <v>201</v>
      </c>
      <c r="F17" s="209">
        <v>144</v>
      </c>
      <c r="G17" s="24">
        <v>52</v>
      </c>
      <c r="H17" s="24">
        <v>23</v>
      </c>
      <c r="I17" s="24">
        <v>22</v>
      </c>
      <c r="J17" s="209">
        <v>16</v>
      </c>
      <c r="K17" s="24">
        <v>25</v>
      </c>
      <c r="L17" s="24">
        <v>33</v>
      </c>
      <c r="M17" s="24">
        <v>42</v>
      </c>
      <c r="N17" s="24">
        <v>28</v>
      </c>
      <c r="O17" s="209">
        <v>47</v>
      </c>
      <c r="P17" s="17">
        <v>791</v>
      </c>
    </row>
    <row r="18" spans="1:16" ht="24.75" customHeight="1" thickBot="1" x14ac:dyDescent="0.45">
      <c r="A18" s="158" t="s">
        <v>457</v>
      </c>
      <c r="B18" s="48">
        <v>1706</v>
      </c>
      <c r="C18" s="48">
        <v>1736</v>
      </c>
      <c r="D18" s="48">
        <v>5237</v>
      </c>
      <c r="E18" s="49">
        <v>9161</v>
      </c>
      <c r="F18" s="49">
        <v>8475</v>
      </c>
      <c r="G18" s="48">
        <v>3569</v>
      </c>
      <c r="H18" s="48">
        <v>1444</v>
      </c>
      <c r="I18" s="48">
        <v>1463</v>
      </c>
      <c r="J18" s="49">
        <v>2543</v>
      </c>
      <c r="K18" s="48">
        <v>1507</v>
      </c>
      <c r="L18" s="48">
        <v>1846</v>
      </c>
      <c r="M18" s="48">
        <v>2982</v>
      </c>
      <c r="N18" s="48">
        <v>2711</v>
      </c>
      <c r="O18" s="49">
        <v>3950</v>
      </c>
      <c r="P18" s="211">
        <v>48330</v>
      </c>
    </row>
  </sheetData>
  <hyperlinks>
    <hyperlink ref="A4" location="Notes!A1" display="Link to Notes table" xr:uid="{7FAD37D5-7D82-4369-9ABA-8B5C79371A41}"/>
    <hyperlink ref="A5" r:id="rId1" xr:uid="{1D8FBC8D-E10B-4F98-A04A-A2FF7F156F3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5567-B571-4659-8A38-87FFD9903721}">
  <dimension ref="A1:P18"/>
  <sheetViews>
    <sheetView showGridLines="0" zoomScaleNormal="100" workbookViewId="0"/>
  </sheetViews>
  <sheetFormatPr defaultColWidth="9" defaultRowHeight="15" x14ac:dyDescent="0.35"/>
  <cols>
    <col min="1" max="1" width="50.75" customWidth="1"/>
    <col min="2" max="16" width="15.5625" style="6" customWidth="1"/>
  </cols>
  <sheetData>
    <row r="1" spans="1:16" ht="20.149999999999999" x14ac:dyDescent="0.5">
      <c r="A1" s="167" t="s">
        <v>575</v>
      </c>
      <c r="B1" s="208"/>
      <c r="C1" s="208"/>
      <c r="D1" s="208"/>
      <c r="E1" s="208"/>
      <c r="F1" s="203" t="s">
        <v>576</v>
      </c>
      <c r="G1" s="203" t="s">
        <v>576</v>
      </c>
      <c r="H1" s="203" t="s">
        <v>576</v>
      </c>
      <c r="I1" s="203" t="s">
        <v>576</v>
      </c>
      <c r="J1" s="203" t="s">
        <v>576</v>
      </c>
      <c r="K1" s="203" t="s">
        <v>576</v>
      </c>
      <c r="L1" s="203" t="s">
        <v>576</v>
      </c>
      <c r="M1" s="203" t="s">
        <v>576</v>
      </c>
      <c r="N1" s="203" t="s">
        <v>576</v>
      </c>
      <c r="O1" s="203" t="s">
        <v>576</v>
      </c>
      <c r="P1" s="203" t="s">
        <v>576</v>
      </c>
    </row>
    <row r="2" spans="1:16" x14ac:dyDescent="0.35">
      <c r="A2" t="s">
        <v>34</v>
      </c>
      <c r="B2" s="6" t="s">
        <v>576</v>
      </c>
      <c r="C2" s="6" t="s">
        <v>576</v>
      </c>
      <c r="D2" s="6" t="s">
        <v>576</v>
      </c>
      <c r="E2" s="6" t="s">
        <v>576</v>
      </c>
      <c r="F2" s="6" t="s">
        <v>576</v>
      </c>
      <c r="G2" s="6" t="s">
        <v>576</v>
      </c>
      <c r="H2" s="6" t="s">
        <v>576</v>
      </c>
      <c r="I2" s="6" t="s">
        <v>576</v>
      </c>
      <c r="J2" s="6" t="s">
        <v>576</v>
      </c>
      <c r="K2" s="6" t="s">
        <v>576</v>
      </c>
      <c r="L2" s="6" t="s">
        <v>576</v>
      </c>
      <c r="M2" s="6" t="s">
        <v>576</v>
      </c>
      <c r="N2" s="6" t="s">
        <v>576</v>
      </c>
      <c r="O2" s="6" t="s">
        <v>576</v>
      </c>
      <c r="P2" s="6" t="s">
        <v>576</v>
      </c>
    </row>
    <row r="3" spans="1:16" x14ac:dyDescent="0.35">
      <c r="A3" t="s">
        <v>160</v>
      </c>
      <c r="D3" s="6" t="s">
        <v>576</v>
      </c>
      <c r="E3" s="6" t="s">
        <v>576</v>
      </c>
      <c r="F3" s="6" t="s">
        <v>576</v>
      </c>
      <c r="G3" s="6" t="s">
        <v>576</v>
      </c>
      <c r="H3" s="6" t="s">
        <v>576</v>
      </c>
      <c r="I3" s="6" t="s">
        <v>576</v>
      </c>
      <c r="J3" s="6" t="s">
        <v>576</v>
      </c>
      <c r="K3" s="6" t="s">
        <v>576</v>
      </c>
      <c r="L3" s="6" t="s">
        <v>576</v>
      </c>
      <c r="M3" s="6" t="s">
        <v>576</v>
      </c>
      <c r="N3" s="6" t="s">
        <v>576</v>
      </c>
      <c r="O3" s="6" t="s">
        <v>576</v>
      </c>
      <c r="P3" s="6" t="s">
        <v>576</v>
      </c>
    </row>
    <row r="4" spans="1:16" x14ac:dyDescent="0.35">
      <c r="A4" s="156" t="s">
        <v>570</v>
      </c>
      <c r="B4" s="6" t="s">
        <v>576</v>
      </c>
      <c r="C4" s="6" t="s">
        <v>576</v>
      </c>
      <c r="D4" s="6" t="s">
        <v>576</v>
      </c>
      <c r="E4" s="6" t="s">
        <v>576</v>
      </c>
      <c r="F4" s="6" t="s">
        <v>576</v>
      </c>
      <c r="G4" s="6" t="s">
        <v>576</v>
      </c>
      <c r="H4" s="6" t="s">
        <v>576</v>
      </c>
      <c r="I4" s="6" t="s">
        <v>576</v>
      </c>
      <c r="J4" s="6" t="s">
        <v>576</v>
      </c>
      <c r="K4" s="6" t="s">
        <v>576</v>
      </c>
      <c r="L4" s="6" t="s">
        <v>576</v>
      </c>
      <c r="M4" s="6" t="s">
        <v>576</v>
      </c>
      <c r="N4" s="6" t="s">
        <v>576</v>
      </c>
      <c r="O4" s="6" t="s">
        <v>576</v>
      </c>
      <c r="P4" s="6" t="s">
        <v>576</v>
      </c>
    </row>
    <row r="5" spans="1:16" ht="15.45" thickBot="1" x14ac:dyDescent="0.4">
      <c r="A5" s="156" t="s">
        <v>161</v>
      </c>
      <c r="B5" s="6" t="s">
        <v>576</v>
      </c>
      <c r="C5" s="6" t="s">
        <v>576</v>
      </c>
      <c r="D5" s="6" t="s">
        <v>576</v>
      </c>
      <c r="E5" s="6" t="s">
        <v>576</v>
      </c>
      <c r="F5" s="6" t="s">
        <v>576</v>
      </c>
      <c r="G5" s="6" t="s">
        <v>576</v>
      </c>
      <c r="H5" s="6" t="s">
        <v>576</v>
      </c>
      <c r="I5" s="6" t="s">
        <v>576</v>
      </c>
      <c r="J5" s="6" t="s">
        <v>576</v>
      </c>
      <c r="K5" s="6" t="s">
        <v>576</v>
      </c>
      <c r="L5" s="6" t="s">
        <v>576</v>
      </c>
      <c r="M5" s="6" t="s">
        <v>576</v>
      </c>
      <c r="N5" s="6" t="s">
        <v>576</v>
      </c>
      <c r="O5" s="6" t="s">
        <v>576</v>
      </c>
      <c r="P5" s="6" t="s">
        <v>576</v>
      </c>
    </row>
    <row r="6" spans="1:16" ht="61.75" x14ac:dyDescent="0.4">
      <c r="A6" s="161" t="s">
        <v>571</v>
      </c>
      <c r="B6" s="162" t="s">
        <v>507</v>
      </c>
      <c r="C6" s="162" t="s">
        <v>508</v>
      </c>
      <c r="D6" s="162" t="s">
        <v>509</v>
      </c>
      <c r="E6" s="163" t="s">
        <v>510</v>
      </c>
      <c r="F6" s="163" t="s">
        <v>511</v>
      </c>
      <c r="G6" s="162" t="s">
        <v>512</v>
      </c>
      <c r="H6" s="162" t="s">
        <v>513</v>
      </c>
      <c r="I6" s="162" t="s">
        <v>514</v>
      </c>
      <c r="J6" s="163" t="s">
        <v>515</v>
      </c>
      <c r="K6" s="162" t="s">
        <v>516</v>
      </c>
      <c r="L6" s="162" t="s">
        <v>517</v>
      </c>
      <c r="M6" s="162" t="s">
        <v>518</v>
      </c>
      <c r="N6" s="162" t="s">
        <v>519</v>
      </c>
      <c r="O6" s="164" t="s">
        <v>520</v>
      </c>
      <c r="P6" s="164" t="s">
        <v>521</v>
      </c>
    </row>
    <row r="7" spans="1:16" ht="24.75" customHeight="1" x14ac:dyDescent="0.35">
      <c r="A7" s="157" t="s">
        <v>444</v>
      </c>
      <c r="B7" s="202">
        <v>41.064300000000003</v>
      </c>
      <c r="C7" s="202">
        <v>33.923225000000002</v>
      </c>
      <c r="D7" s="202">
        <v>217.295975</v>
      </c>
      <c r="E7" s="204">
        <v>29017.896649999999</v>
      </c>
      <c r="F7" s="204">
        <v>57025.25215</v>
      </c>
      <c r="G7" s="202">
        <v>116671.6661</v>
      </c>
      <c r="H7" s="202">
        <v>32304.094679999998</v>
      </c>
      <c r="I7" s="202">
        <v>17446.780650000001</v>
      </c>
      <c r="J7" s="204">
        <v>20577.420699999999</v>
      </c>
      <c r="K7" s="202">
        <v>947.86834999999996</v>
      </c>
      <c r="L7" s="202">
        <v>10.216374999999999</v>
      </c>
      <c r="M7" s="202">
        <v>908.33607500000005</v>
      </c>
      <c r="N7" s="202">
        <v>3079.4785000000002</v>
      </c>
      <c r="O7" s="170">
        <v>933.58069999999998</v>
      </c>
      <c r="P7" s="170">
        <v>279214.87439999997</v>
      </c>
    </row>
    <row r="8" spans="1:16" ht="24.75" customHeight="1" x14ac:dyDescent="0.35">
      <c r="A8" s="157" t="s">
        <v>445</v>
      </c>
      <c r="B8" s="202">
        <v>4492.5263750000004</v>
      </c>
      <c r="C8" s="202">
        <v>13417.73263</v>
      </c>
      <c r="D8" s="202">
        <v>23331.99913</v>
      </c>
      <c r="E8" s="204">
        <v>511447.41379999998</v>
      </c>
      <c r="F8" s="204">
        <v>115396.46189999999</v>
      </c>
      <c r="G8" s="202">
        <v>73525.882629999993</v>
      </c>
      <c r="H8" s="202">
        <v>6375.9381000000003</v>
      </c>
      <c r="I8" s="202">
        <v>9967.4445250000008</v>
      </c>
      <c r="J8" s="204">
        <v>28317.121480000002</v>
      </c>
      <c r="K8" s="202">
        <v>37258.223230000003</v>
      </c>
      <c r="L8" s="202">
        <v>71629.146120000005</v>
      </c>
      <c r="M8" s="202">
        <v>31796.917150000001</v>
      </c>
      <c r="N8" s="202">
        <v>34486.020479999999</v>
      </c>
      <c r="O8" s="170">
        <v>50770.704120000002</v>
      </c>
      <c r="P8" s="170">
        <v>1012213.532</v>
      </c>
    </row>
    <row r="9" spans="1:16" ht="24.75" customHeight="1" x14ac:dyDescent="0.35">
      <c r="A9" s="157" t="s">
        <v>572</v>
      </c>
      <c r="B9" s="202">
        <v>69377.529769999994</v>
      </c>
      <c r="C9" s="202">
        <v>65776.854229999997</v>
      </c>
      <c r="D9" s="202">
        <v>30023.203089999999</v>
      </c>
      <c r="E9" s="204">
        <v>953960.48490000004</v>
      </c>
      <c r="F9" s="204">
        <v>235750.03599999999</v>
      </c>
      <c r="G9" s="202">
        <v>299156.10090000002</v>
      </c>
      <c r="H9" s="202">
        <v>5775.5159610000001</v>
      </c>
      <c r="I9" s="202">
        <v>44343.730199999998</v>
      </c>
      <c r="J9" s="204">
        <v>215176.46359999999</v>
      </c>
      <c r="K9" s="202">
        <v>107472.9522</v>
      </c>
      <c r="L9" s="202">
        <v>341866.38620000001</v>
      </c>
      <c r="M9" s="202">
        <v>136418.40779999999</v>
      </c>
      <c r="N9" s="202">
        <v>136581.20170000001</v>
      </c>
      <c r="O9" s="170">
        <v>297831.95299999998</v>
      </c>
      <c r="P9" s="170">
        <v>2939510.82</v>
      </c>
    </row>
    <row r="10" spans="1:16" ht="24.75" customHeight="1" x14ac:dyDescent="0.35">
      <c r="A10" s="157" t="s">
        <v>449</v>
      </c>
      <c r="B10" s="202">
        <v>315.53087629999999</v>
      </c>
      <c r="C10" s="202">
        <v>997.08155750000003</v>
      </c>
      <c r="D10" s="202">
        <v>479.37237699999997</v>
      </c>
      <c r="E10" s="204">
        <v>34354.122459999999</v>
      </c>
      <c r="F10" s="204">
        <v>89557.744489999997</v>
      </c>
      <c r="G10" s="202">
        <v>41511.473230000003</v>
      </c>
      <c r="H10" s="202">
        <v>19927.620029999998</v>
      </c>
      <c r="I10" s="202">
        <v>13068.170679999999</v>
      </c>
      <c r="J10" s="204">
        <v>35563.85845</v>
      </c>
      <c r="K10" s="202">
        <v>12115.1531</v>
      </c>
      <c r="L10" s="202">
        <v>2538.1283680000001</v>
      </c>
      <c r="M10" s="202">
        <v>4915.0050000000001</v>
      </c>
      <c r="N10" s="202">
        <v>9004.4814729999998</v>
      </c>
      <c r="O10" s="170">
        <v>13494.4395</v>
      </c>
      <c r="P10" s="170">
        <v>277842.18160000001</v>
      </c>
    </row>
    <row r="11" spans="1:16" ht="24.75" customHeight="1" x14ac:dyDescent="0.35">
      <c r="A11" s="157" t="s">
        <v>573</v>
      </c>
      <c r="B11" s="202" t="s">
        <v>406</v>
      </c>
      <c r="C11" s="202">
        <v>0</v>
      </c>
      <c r="D11" s="202" t="s">
        <v>406</v>
      </c>
      <c r="E11" s="204">
        <v>3030.4448600000001</v>
      </c>
      <c r="F11" s="204">
        <v>39942.67123</v>
      </c>
      <c r="G11" s="202">
        <v>10616.254150000001</v>
      </c>
      <c r="H11" s="202">
        <v>8034.2677219999996</v>
      </c>
      <c r="I11" s="202">
        <v>4418.0847329999997</v>
      </c>
      <c r="J11" s="204">
        <v>9359.0305750000007</v>
      </c>
      <c r="K11" s="202">
        <v>10036.197679999999</v>
      </c>
      <c r="L11" s="202" t="s">
        <v>406</v>
      </c>
      <c r="M11" s="202">
        <v>3662.463225</v>
      </c>
      <c r="N11" s="202">
        <v>9640.4473309999994</v>
      </c>
      <c r="O11" s="170">
        <v>14882.681049999999</v>
      </c>
      <c r="P11" s="170">
        <v>113646.46490000001</v>
      </c>
    </row>
    <row r="12" spans="1:16" ht="24.75" customHeight="1" x14ac:dyDescent="0.35">
      <c r="A12" s="157" t="s">
        <v>451</v>
      </c>
      <c r="B12" s="202">
        <v>0</v>
      </c>
      <c r="C12" s="202">
        <v>770.16367500000001</v>
      </c>
      <c r="D12" s="202" t="s">
        <v>406</v>
      </c>
      <c r="E12" s="204">
        <v>15365.65208</v>
      </c>
      <c r="F12" s="204">
        <v>101619.59669999999</v>
      </c>
      <c r="G12" s="202">
        <v>22084.124830000001</v>
      </c>
      <c r="H12" s="202">
        <v>16872.384030000001</v>
      </c>
      <c r="I12" s="202">
        <v>36512.826480000003</v>
      </c>
      <c r="J12" s="204">
        <v>42733.626550000001</v>
      </c>
      <c r="K12" s="202">
        <v>10521.5903</v>
      </c>
      <c r="L12" s="202" t="s">
        <v>406</v>
      </c>
      <c r="M12" s="202">
        <v>3642.3938750000002</v>
      </c>
      <c r="N12" s="202">
        <v>1795.93065</v>
      </c>
      <c r="O12" s="170">
        <v>4327.8477750000002</v>
      </c>
      <c r="P12" s="170">
        <v>256452.1698</v>
      </c>
    </row>
    <row r="13" spans="1:16" ht="24.75" customHeight="1" x14ac:dyDescent="0.35">
      <c r="A13" s="157" t="s">
        <v>452</v>
      </c>
      <c r="B13" s="202" t="s">
        <v>406</v>
      </c>
      <c r="C13" s="202">
        <v>2015.9</v>
      </c>
      <c r="D13" s="202">
        <v>0</v>
      </c>
      <c r="E13" s="204" t="s">
        <v>406</v>
      </c>
      <c r="F13" s="204">
        <v>2506.9517249999999</v>
      </c>
      <c r="G13" s="202">
        <v>976.19</v>
      </c>
      <c r="H13" s="202">
        <v>1971.4</v>
      </c>
      <c r="I13" s="202">
        <v>1298.79</v>
      </c>
      <c r="J13" s="204">
        <v>3288.2505000000001</v>
      </c>
      <c r="K13" s="202">
        <v>4124.55</v>
      </c>
      <c r="L13" s="202">
        <v>5977.3</v>
      </c>
      <c r="M13" s="202">
        <v>9681.14</v>
      </c>
      <c r="N13" s="202">
        <v>24229.5</v>
      </c>
      <c r="O13" s="170">
        <v>50469.03</v>
      </c>
      <c r="P13" s="170">
        <v>107075.8722</v>
      </c>
    </row>
    <row r="14" spans="1:16" ht="24.75" customHeight="1" x14ac:dyDescent="0.35">
      <c r="A14" s="157" t="s">
        <v>574</v>
      </c>
      <c r="B14" s="202" t="s">
        <v>406</v>
      </c>
      <c r="C14" s="202">
        <v>22.449226939999999</v>
      </c>
      <c r="D14" s="202" t="s">
        <v>406</v>
      </c>
      <c r="E14" s="204">
        <v>654.69417729999998</v>
      </c>
      <c r="F14" s="204">
        <v>2927.9024949999998</v>
      </c>
      <c r="G14" s="202">
        <v>8040.728795</v>
      </c>
      <c r="H14" s="202">
        <v>2819.1546199999998</v>
      </c>
      <c r="I14" s="202">
        <v>217.0478967</v>
      </c>
      <c r="J14" s="204">
        <v>251.01060960000001</v>
      </c>
      <c r="K14" s="202">
        <v>63.670474609999999</v>
      </c>
      <c r="L14" s="202">
        <v>209.2826196</v>
      </c>
      <c r="M14" s="202">
        <v>73.438592909999997</v>
      </c>
      <c r="N14" s="202">
        <v>86.408700710000005</v>
      </c>
      <c r="O14" s="170">
        <v>175.2538878</v>
      </c>
      <c r="P14" s="170">
        <v>15769.30141</v>
      </c>
    </row>
    <row r="15" spans="1:16" ht="24.75" customHeight="1" x14ac:dyDescent="0.35">
      <c r="A15" s="157" t="s">
        <v>454</v>
      </c>
      <c r="B15" s="202" t="s">
        <v>406</v>
      </c>
      <c r="C15" s="202">
        <v>16.939675000000001</v>
      </c>
      <c r="D15" s="202">
        <v>21.9057821</v>
      </c>
      <c r="E15" s="204" t="s">
        <v>406</v>
      </c>
      <c r="F15" s="204">
        <v>3180.2239810000001</v>
      </c>
      <c r="G15" s="202">
        <v>143.0909</v>
      </c>
      <c r="H15" s="202">
        <v>8.3190000000000008</v>
      </c>
      <c r="I15" s="202">
        <v>272.52842500000003</v>
      </c>
      <c r="J15" s="204">
        <v>1913.5857000000001</v>
      </c>
      <c r="K15" s="202">
        <v>30.250624999999999</v>
      </c>
      <c r="L15" s="202">
        <v>69.504734470000002</v>
      </c>
      <c r="M15" s="202">
        <v>91.618200000000002</v>
      </c>
      <c r="N15" s="202">
        <v>12.05925</v>
      </c>
      <c r="O15" s="170">
        <v>582.33407499999998</v>
      </c>
      <c r="P15" s="170">
        <v>6541.1123539999999</v>
      </c>
    </row>
    <row r="16" spans="1:16" ht="24.75" customHeight="1" x14ac:dyDescent="0.35">
      <c r="A16" s="157" t="s">
        <v>455</v>
      </c>
      <c r="B16" s="202">
        <v>11.945425</v>
      </c>
      <c r="C16" s="202">
        <v>9.5364000000000004</v>
      </c>
      <c r="D16" s="202">
        <v>60.581371670000003</v>
      </c>
      <c r="E16" s="204">
        <v>302.09582499999999</v>
      </c>
      <c r="F16" s="204">
        <v>2149.9682250000001</v>
      </c>
      <c r="G16" s="202">
        <v>784.97477500000002</v>
      </c>
      <c r="H16" s="202">
        <v>18.078775</v>
      </c>
      <c r="I16" s="202">
        <v>23.030075</v>
      </c>
      <c r="J16" s="204">
        <v>4731.6306249999998</v>
      </c>
      <c r="K16" s="202">
        <v>9.9521999999999995</v>
      </c>
      <c r="L16" s="202">
        <v>21.83790158</v>
      </c>
      <c r="M16" s="202">
        <v>42.535499999999999</v>
      </c>
      <c r="N16" s="202">
        <v>935.79492500000003</v>
      </c>
      <c r="O16" s="170">
        <v>933.893325</v>
      </c>
      <c r="P16" s="170">
        <v>10035.85535</v>
      </c>
    </row>
    <row r="17" spans="1:16" ht="24.75" customHeight="1" x14ac:dyDescent="0.35">
      <c r="A17" s="157" t="s">
        <v>456</v>
      </c>
      <c r="B17" s="202">
        <v>19.134875000000001</v>
      </c>
      <c r="C17" s="202">
        <v>128.17904999999999</v>
      </c>
      <c r="D17" s="202">
        <v>212.13675000000001</v>
      </c>
      <c r="E17" s="204">
        <v>2157.6404250000001</v>
      </c>
      <c r="F17" s="204">
        <v>473.131125</v>
      </c>
      <c r="G17" s="202">
        <v>173.32932500000001</v>
      </c>
      <c r="H17" s="202">
        <v>85.811875000000001</v>
      </c>
      <c r="I17" s="202">
        <v>142.63454999999999</v>
      </c>
      <c r="J17" s="204">
        <v>55.339700000000001</v>
      </c>
      <c r="K17" s="202">
        <v>160.69204999999999</v>
      </c>
      <c r="L17" s="202">
        <v>699.81682499999999</v>
      </c>
      <c r="M17" s="202">
        <v>1176.96245</v>
      </c>
      <c r="N17" s="202">
        <v>298.65105</v>
      </c>
      <c r="O17" s="170">
        <v>216.66287500000001</v>
      </c>
      <c r="P17" s="170">
        <v>6000.1229249999997</v>
      </c>
    </row>
    <row r="18" spans="1:16" ht="24.75" customHeight="1" thickBot="1" x14ac:dyDescent="0.45">
      <c r="A18" s="158" t="s">
        <v>457</v>
      </c>
      <c r="B18" s="205">
        <v>74425.738200000007</v>
      </c>
      <c r="C18" s="205">
        <v>83188.759659999996</v>
      </c>
      <c r="D18" s="205">
        <v>54549.046280000002</v>
      </c>
      <c r="E18" s="206">
        <v>1550906.673</v>
      </c>
      <c r="F18" s="206">
        <v>650529.93999999994</v>
      </c>
      <c r="G18" s="205">
        <v>573683.81559999997</v>
      </c>
      <c r="H18" s="205">
        <v>94192.584780000005</v>
      </c>
      <c r="I18" s="205">
        <v>127711.06819999999</v>
      </c>
      <c r="J18" s="206">
        <v>361967.33850000001</v>
      </c>
      <c r="K18" s="205">
        <v>182741.10010000001</v>
      </c>
      <c r="L18" s="205">
        <v>423228.66979999997</v>
      </c>
      <c r="M18" s="205">
        <v>192409.21780000001</v>
      </c>
      <c r="N18" s="205">
        <v>220149.97399999999</v>
      </c>
      <c r="O18" s="169">
        <v>434618.38030000002</v>
      </c>
      <c r="P18" s="169">
        <v>5024302.3059999999</v>
      </c>
    </row>
  </sheetData>
  <hyperlinks>
    <hyperlink ref="A4" location="Notes!A1" display="Link to Notes table" xr:uid="{3799E076-2FCB-439F-B971-A7310A48BE12}"/>
    <hyperlink ref="A5" r:id="rId1" xr:uid="{7CF05E72-7D6C-43C9-9BDE-D42A4819947D}"/>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F7EAC-BB13-4808-AC44-2F0AB5517999}">
  <dimension ref="A1:J18"/>
  <sheetViews>
    <sheetView showGridLines="0" workbookViewId="0"/>
  </sheetViews>
  <sheetFormatPr defaultColWidth="9" defaultRowHeight="15" x14ac:dyDescent="0.35"/>
  <cols>
    <col min="1" max="1" width="50.75" customWidth="1"/>
    <col min="2" max="10" width="15.5625" customWidth="1"/>
  </cols>
  <sheetData>
    <row r="1" spans="1:10" ht="20.149999999999999" x14ac:dyDescent="0.5">
      <c r="A1" s="106" t="s">
        <v>577</v>
      </c>
      <c r="B1" s="106"/>
      <c r="C1" s="106"/>
      <c r="D1" s="106"/>
      <c r="E1" s="106"/>
      <c r="F1" s="168" t="s">
        <v>576</v>
      </c>
      <c r="G1" s="168" t="s">
        <v>576</v>
      </c>
      <c r="H1" s="168" t="s">
        <v>576</v>
      </c>
      <c r="I1" s="168" t="s">
        <v>576</v>
      </c>
      <c r="J1" s="168" t="s">
        <v>576</v>
      </c>
    </row>
    <row r="2" spans="1:10" x14ac:dyDescent="0.35">
      <c r="A2" t="s">
        <v>34</v>
      </c>
      <c r="B2" t="s">
        <v>576</v>
      </c>
      <c r="C2" t="s">
        <v>576</v>
      </c>
      <c r="D2" t="s">
        <v>576</v>
      </c>
      <c r="E2" t="s">
        <v>576</v>
      </c>
      <c r="F2" t="s">
        <v>576</v>
      </c>
      <c r="G2" t="s">
        <v>576</v>
      </c>
      <c r="H2" t="s">
        <v>576</v>
      </c>
      <c r="I2" t="s">
        <v>576</v>
      </c>
      <c r="J2" t="s">
        <v>576</v>
      </c>
    </row>
    <row r="3" spans="1:10" x14ac:dyDescent="0.35">
      <c r="A3" t="s">
        <v>160</v>
      </c>
      <c r="D3" t="s">
        <v>576</v>
      </c>
      <c r="E3" t="s">
        <v>576</v>
      </c>
      <c r="F3" t="s">
        <v>576</v>
      </c>
      <c r="G3" t="s">
        <v>576</v>
      </c>
      <c r="H3" t="s">
        <v>576</v>
      </c>
      <c r="I3" t="s">
        <v>576</v>
      </c>
      <c r="J3" t="s">
        <v>576</v>
      </c>
    </row>
    <row r="4" spans="1:10" x14ac:dyDescent="0.35">
      <c r="A4" s="156" t="s">
        <v>570</v>
      </c>
      <c r="B4" t="s">
        <v>576</v>
      </c>
      <c r="C4" t="s">
        <v>576</v>
      </c>
      <c r="D4" t="s">
        <v>576</v>
      </c>
      <c r="E4" t="s">
        <v>576</v>
      </c>
      <c r="F4" t="s">
        <v>576</v>
      </c>
      <c r="G4" t="s">
        <v>576</v>
      </c>
      <c r="H4" t="s">
        <v>576</v>
      </c>
      <c r="I4" t="s">
        <v>576</v>
      </c>
      <c r="J4" t="s">
        <v>576</v>
      </c>
    </row>
    <row r="5" spans="1:10" ht="15.45" thickBot="1" x14ac:dyDescent="0.4">
      <c r="A5" s="156" t="s">
        <v>161</v>
      </c>
      <c r="B5" t="s">
        <v>576</v>
      </c>
      <c r="C5" t="s">
        <v>576</v>
      </c>
      <c r="D5" t="s">
        <v>576</v>
      </c>
      <c r="E5" t="s">
        <v>576</v>
      </c>
      <c r="F5" t="s">
        <v>576</v>
      </c>
      <c r="G5" t="s">
        <v>576</v>
      </c>
      <c r="H5" t="s">
        <v>576</v>
      </c>
      <c r="I5" t="s">
        <v>576</v>
      </c>
      <c r="J5" t="s">
        <v>576</v>
      </c>
    </row>
    <row r="6" spans="1:10" ht="46.75" thickBot="1" x14ac:dyDescent="0.45">
      <c r="A6" s="161" t="s">
        <v>571</v>
      </c>
      <c r="B6" s="162" t="s">
        <v>578</v>
      </c>
      <c r="C6" s="162" t="s">
        <v>579</v>
      </c>
      <c r="D6" s="162" t="s">
        <v>580</v>
      </c>
      <c r="E6" s="162" t="s">
        <v>581</v>
      </c>
      <c r="F6" s="162" t="s">
        <v>582</v>
      </c>
      <c r="G6" s="162" t="s">
        <v>583</v>
      </c>
      <c r="H6" s="162" t="s">
        <v>584</v>
      </c>
      <c r="I6" s="163" t="s">
        <v>585</v>
      </c>
      <c r="J6" s="164" t="s">
        <v>586</v>
      </c>
    </row>
    <row r="7" spans="1:10" ht="24.75" customHeight="1" x14ac:dyDescent="0.35">
      <c r="A7" s="157" t="s">
        <v>444</v>
      </c>
      <c r="B7" s="6">
        <v>238</v>
      </c>
      <c r="C7" s="6">
        <v>76</v>
      </c>
      <c r="D7" s="6">
        <v>58</v>
      </c>
      <c r="E7" s="6">
        <v>56</v>
      </c>
      <c r="F7" s="6">
        <v>206</v>
      </c>
      <c r="G7" s="6">
        <v>390</v>
      </c>
      <c r="H7" s="6">
        <v>447</v>
      </c>
      <c r="I7" s="207">
        <v>404</v>
      </c>
      <c r="J7" s="170">
        <v>1875</v>
      </c>
    </row>
    <row r="8" spans="1:10" ht="24.75" customHeight="1" x14ac:dyDescent="0.35">
      <c r="A8" s="157" t="s">
        <v>445</v>
      </c>
      <c r="B8" s="202">
        <v>4470</v>
      </c>
      <c r="C8" s="202">
        <v>4448</v>
      </c>
      <c r="D8" s="202">
        <v>3114</v>
      </c>
      <c r="E8" s="202">
        <v>1864</v>
      </c>
      <c r="F8" s="202">
        <v>1560</v>
      </c>
      <c r="G8" s="6">
        <v>771</v>
      </c>
      <c r="H8" s="6">
        <v>361</v>
      </c>
      <c r="I8" s="207">
        <v>441</v>
      </c>
      <c r="J8" s="170">
        <v>17029</v>
      </c>
    </row>
    <row r="9" spans="1:10" ht="24.75" customHeight="1" x14ac:dyDescent="0.35">
      <c r="A9" s="157" t="s">
        <v>572</v>
      </c>
      <c r="B9" s="202">
        <v>2508</v>
      </c>
      <c r="C9" s="202">
        <v>2343</v>
      </c>
      <c r="D9" s="202">
        <v>2154</v>
      </c>
      <c r="E9" s="202">
        <v>1856</v>
      </c>
      <c r="F9" s="202">
        <v>2130</v>
      </c>
      <c r="G9" s="202">
        <v>1700</v>
      </c>
      <c r="H9" s="202">
        <v>1580</v>
      </c>
      <c r="I9" s="204">
        <v>2216</v>
      </c>
      <c r="J9" s="170">
        <v>16487</v>
      </c>
    </row>
    <row r="10" spans="1:10" ht="24.75" customHeight="1" x14ac:dyDescent="0.35">
      <c r="A10" s="157" t="s">
        <v>449</v>
      </c>
      <c r="B10" s="202">
        <v>1557</v>
      </c>
      <c r="C10" s="6">
        <v>708</v>
      </c>
      <c r="D10" s="6">
        <v>313</v>
      </c>
      <c r="E10" s="6">
        <v>174</v>
      </c>
      <c r="F10" s="6">
        <v>216</v>
      </c>
      <c r="G10" s="6">
        <v>279</v>
      </c>
      <c r="H10" s="6">
        <v>399</v>
      </c>
      <c r="I10" s="207">
        <v>404</v>
      </c>
      <c r="J10" s="170">
        <v>4050</v>
      </c>
    </row>
    <row r="11" spans="1:10" ht="24.75" customHeight="1" x14ac:dyDescent="0.35">
      <c r="A11" s="157" t="s">
        <v>573</v>
      </c>
      <c r="B11" s="6">
        <v>423</v>
      </c>
      <c r="C11" s="202">
        <v>1031</v>
      </c>
      <c r="D11" s="6">
        <v>664</v>
      </c>
      <c r="E11" s="6">
        <v>344</v>
      </c>
      <c r="F11" s="6">
        <v>375</v>
      </c>
      <c r="G11" s="6">
        <v>259</v>
      </c>
      <c r="H11" s="6">
        <v>216</v>
      </c>
      <c r="I11" s="207">
        <v>107</v>
      </c>
      <c r="J11" s="170">
        <v>3419</v>
      </c>
    </row>
    <row r="12" spans="1:10" ht="24.75" customHeight="1" x14ac:dyDescent="0.35">
      <c r="A12" s="157" t="s">
        <v>451</v>
      </c>
      <c r="B12" s="6">
        <v>69</v>
      </c>
      <c r="C12" s="6">
        <v>140</v>
      </c>
      <c r="D12" s="6">
        <v>205</v>
      </c>
      <c r="E12" s="6">
        <v>230</v>
      </c>
      <c r="F12" s="6">
        <v>475</v>
      </c>
      <c r="G12" s="6">
        <v>488</v>
      </c>
      <c r="H12" s="6">
        <v>489</v>
      </c>
      <c r="I12" s="207">
        <v>309</v>
      </c>
      <c r="J12" s="170">
        <v>2405</v>
      </c>
    </row>
    <row r="13" spans="1:10" ht="24.75" customHeight="1" x14ac:dyDescent="0.35">
      <c r="A13" s="157" t="s">
        <v>452</v>
      </c>
      <c r="B13" s="6" t="s">
        <v>406</v>
      </c>
      <c r="C13" s="6" t="s">
        <v>406</v>
      </c>
      <c r="D13" s="6">
        <v>6</v>
      </c>
      <c r="E13" s="6" t="s">
        <v>406</v>
      </c>
      <c r="F13" s="6">
        <v>20</v>
      </c>
      <c r="G13" s="6">
        <v>135</v>
      </c>
      <c r="H13" s="6">
        <v>260</v>
      </c>
      <c r="I13" s="207">
        <v>153</v>
      </c>
      <c r="J13" s="90">
        <v>580</v>
      </c>
    </row>
    <row r="14" spans="1:10" ht="24.75" customHeight="1" x14ac:dyDescent="0.35">
      <c r="A14" s="157" t="s">
        <v>574</v>
      </c>
      <c r="B14" s="6">
        <v>352</v>
      </c>
      <c r="C14" s="6">
        <v>129</v>
      </c>
      <c r="D14" s="6">
        <v>49</v>
      </c>
      <c r="E14" s="6">
        <v>27</v>
      </c>
      <c r="F14" s="6">
        <v>25</v>
      </c>
      <c r="G14" s="6">
        <v>15</v>
      </c>
      <c r="H14" s="6">
        <v>28</v>
      </c>
      <c r="I14" s="207">
        <v>25</v>
      </c>
      <c r="J14" s="90">
        <v>650</v>
      </c>
    </row>
    <row r="15" spans="1:10" ht="24.75" customHeight="1" x14ac:dyDescent="0.35">
      <c r="A15" s="157" t="s">
        <v>454</v>
      </c>
      <c r="B15" s="6">
        <v>216</v>
      </c>
      <c r="C15" s="6">
        <v>41</v>
      </c>
      <c r="D15" s="6">
        <v>19</v>
      </c>
      <c r="E15" s="6" t="s">
        <v>406</v>
      </c>
      <c r="F15" s="6">
        <v>12</v>
      </c>
      <c r="G15" s="6">
        <v>14</v>
      </c>
      <c r="H15" s="6">
        <v>10</v>
      </c>
      <c r="I15" s="207" t="s">
        <v>406</v>
      </c>
      <c r="J15" s="90">
        <v>332</v>
      </c>
    </row>
    <row r="16" spans="1:10" ht="24.75" customHeight="1" x14ac:dyDescent="0.35">
      <c r="A16" s="157" t="s">
        <v>455</v>
      </c>
      <c r="B16" s="6">
        <v>569</v>
      </c>
      <c r="C16" s="6">
        <v>61</v>
      </c>
      <c r="D16" s="6">
        <v>23</v>
      </c>
      <c r="E16" s="6">
        <v>14</v>
      </c>
      <c r="F16" s="6">
        <v>10</v>
      </c>
      <c r="G16" s="6" t="s">
        <v>406</v>
      </c>
      <c r="H16" s="6" t="s">
        <v>406</v>
      </c>
      <c r="I16" s="207">
        <v>15</v>
      </c>
      <c r="J16" s="90">
        <v>712</v>
      </c>
    </row>
    <row r="17" spans="1:10" ht="24.75" customHeight="1" x14ac:dyDescent="0.35">
      <c r="A17" s="157" t="s">
        <v>456</v>
      </c>
      <c r="B17" s="6" t="s">
        <v>406</v>
      </c>
      <c r="C17" s="6" t="s">
        <v>406</v>
      </c>
      <c r="D17" s="6">
        <v>83</v>
      </c>
      <c r="E17" s="6">
        <v>30</v>
      </c>
      <c r="F17" s="6">
        <v>24</v>
      </c>
      <c r="G17" s="6" t="s">
        <v>406</v>
      </c>
      <c r="H17" s="6" t="s">
        <v>406</v>
      </c>
      <c r="I17" s="207" t="s">
        <v>406</v>
      </c>
      <c r="J17" s="90">
        <v>791</v>
      </c>
    </row>
    <row r="18" spans="1:10" ht="24.75" customHeight="1" thickBot="1" x14ac:dyDescent="0.45">
      <c r="A18" s="158" t="s">
        <v>457</v>
      </c>
      <c r="B18" s="205">
        <v>10873</v>
      </c>
      <c r="C18" s="205">
        <v>9155</v>
      </c>
      <c r="D18" s="205">
        <v>6688</v>
      </c>
      <c r="E18" s="205">
        <v>4606</v>
      </c>
      <c r="F18" s="205">
        <v>5053</v>
      </c>
      <c r="G18" s="205">
        <v>4063</v>
      </c>
      <c r="H18" s="205">
        <v>3803</v>
      </c>
      <c r="I18" s="206">
        <v>4089</v>
      </c>
      <c r="J18" s="169">
        <v>48330</v>
      </c>
    </row>
  </sheetData>
  <hyperlinks>
    <hyperlink ref="A4" location="Notes!A1" display="Link to Notes table" xr:uid="{AA57FD8C-096B-4592-83D5-B331E7BC1007}"/>
    <hyperlink ref="A5" r:id="rId1" xr:uid="{925D7A23-BE1A-4DD8-B4F4-2AFBA7F70332}"/>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CA82E-8879-429F-B998-264ADE4FB474}">
  <dimension ref="A1:J18"/>
  <sheetViews>
    <sheetView showGridLines="0" workbookViewId="0"/>
  </sheetViews>
  <sheetFormatPr defaultColWidth="9" defaultRowHeight="15" x14ac:dyDescent="0.35"/>
  <cols>
    <col min="1" max="1" width="50.75" customWidth="1"/>
    <col min="2" max="9" width="15.5625" style="6" customWidth="1"/>
    <col min="10" max="10" width="15.5625" customWidth="1"/>
  </cols>
  <sheetData>
    <row r="1" spans="1:10" ht="20.149999999999999" x14ac:dyDescent="0.5">
      <c r="A1" s="171" t="s">
        <v>587</v>
      </c>
      <c r="B1" s="203"/>
      <c r="C1" s="203"/>
      <c r="D1" s="203"/>
      <c r="E1" s="203"/>
      <c r="F1" s="203"/>
      <c r="G1" s="203" t="s">
        <v>576</v>
      </c>
      <c r="H1" s="203" t="s">
        <v>576</v>
      </c>
      <c r="I1" s="203" t="s">
        <v>576</v>
      </c>
      <c r="J1" s="168" t="s">
        <v>576</v>
      </c>
    </row>
    <row r="2" spans="1:10" x14ac:dyDescent="0.35">
      <c r="A2" t="s">
        <v>34</v>
      </c>
      <c r="C2" s="6" t="s">
        <v>576</v>
      </c>
      <c r="D2" s="6" t="s">
        <v>576</v>
      </c>
      <c r="E2" s="6" t="s">
        <v>576</v>
      </c>
      <c r="F2" s="6" t="s">
        <v>576</v>
      </c>
      <c r="G2" s="6" t="s">
        <v>576</v>
      </c>
      <c r="H2" s="6" t="s">
        <v>576</v>
      </c>
      <c r="I2" s="6" t="s">
        <v>576</v>
      </c>
      <c r="J2" t="s">
        <v>576</v>
      </c>
    </row>
    <row r="3" spans="1:10" x14ac:dyDescent="0.35">
      <c r="A3" t="s">
        <v>160</v>
      </c>
      <c r="D3" s="6" t="s">
        <v>576</v>
      </c>
      <c r="E3" s="6" t="s">
        <v>576</v>
      </c>
      <c r="F3" s="6" t="s">
        <v>576</v>
      </c>
      <c r="G3" s="6" t="s">
        <v>576</v>
      </c>
      <c r="H3" s="6" t="s">
        <v>576</v>
      </c>
      <c r="I3" s="6" t="s">
        <v>576</v>
      </c>
      <c r="J3" t="s">
        <v>576</v>
      </c>
    </row>
    <row r="4" spans="1:10" x14ac:dyDescent="0.35">
      <c r="A4" s="156" t="s">
        <v>570</v>
      </c>
      <c r="B4" s="6" t="s">
        <v>576</v>
      </c>
      <c r="C4" s="6" t="s">
        <v>576</v>
      </c>
      <c r="D4" s="6" t="s">
        <v>576</v>
      </c>
      <c r="E4" s="6" t="s">
        <v>576</v>
      </c>
      <c r="F4" s="6" t="s">
        <v>576</v>
      </c>
      <c r="G4" s="6" t="s">
        <v>576</v>
      </c>
      <c r="H4" s="6" t="s">
        <v>576</v>
      </c>
      <c r="I4" s="6" t="s">
        <v>576</v>
      </c>
      <c r="J4" t="s">
        <v>576</v>
      </c>
    </row>
    <row r="5" spans="1:10" ht="15.45" thickBot="1" x14ac:dyDescent="0.4">
      <c r="A5" s="156" t="s">
        <v>161</v>
      </c>
      <c r="B5" s="6" t="s">
        <v>576</v>
      </c>
      <c r="C5" s="6" t="s">
        <v>576</v>
      </c>
      <c r="D5" s="6" t="s">
        <v>576</v>
      </c>
      <c r="E5" s="6" t="s">
        <v>576</v>
      </c>
      <c r="F5" s="6" t="s">
        <v>576</v>
      </c>
      <c r="G5" s="6" t="s">
        <v>576</v>
      </c>
      <c r="H5" s="6" t="s">
        <v>576</v>
      </c>
      <c r="I5" s="6" t="s">
        <v>576</v>
      </c>
      <c r="J5" t="s">
        <v>576</v>
      </c>
    </row>
    <row r="6" spans="1:10" ht="46.3" x14ac:dyDescent="0.4">
      <c r="A6" s="161" t="s">
        <v>571</v>
      </c>
      <c r="B6" s="162" t="s">
        <v>588</v>
      </c>
      <c r="C6" s="162" t="s">
        <v>589</v>
      </c>
      <c r="D6" s="162" t="s">
        <v>590</v>
      </c>
      <c r="E6" s="162" t="s">
        <v>591</v>
      </c>
      <c r="F6" s="162" t="s">
        <v>592</v>
      </c>
      <c r="G6" s="162" t="s">
        <v>593</v>
      </c>
      <c r="H6" s="162" t="s">
        <v>594</v>
      </c>
      <c r="I6" s="163" t="s">
        <v>595</v>
      </c>
      <c r="J6" s="164" t="s">
        <v>462</v>
      </c>
    </row>
    <row r="7" spans="1:10" ht="24.75" customHeight="1" x14ac:dyDescent="0.35">
      <c r="A7" s="157" t="s">
        <v>444</v>
      </c>
      <c r="B7" s="202">
        <v>133.17944439999999</v>
      </c>
      <c r="C7" s="202">
        <v>258.58532639999999</v>
      </c>
      <c r="D7" s="202">
        <v>386.69225</v>
      </c>
      <c r="E7" s="202">
        <v>854.91027499999996</v>
      </c>
      <c r="F7" s="202">
        <v>7228.6058750000002</v>
      </c>
      <c r="G7" s="202">
        <v>28941.3462</v>
      </c>
      <c r="H7" s="202">
        <v>64922.380980000002</v>
      </c>
      <c r="I7" s="204">
        <v>176489.1741</v>
      </c>
      <c r="J7" s="165">
        <v>279214.87439999997</v>
      </c>
    </row>
    <row r="8" spans="1:10" ht="24.75" customHeight="1" x14ac:dyDescent="0.35">
      <c r="A8" s="157" t="s">
        <v>445</v>
      </c>
      <c r="B8" s="202">
        <v>4537.8409890000003</v>
      </c>
      <c r="C8" s="202">
        <v>14795.72013</v>
      </c>
      <c r="D8" s="202">
        <v>21841.061529999999</v>
      </c>
      <c r="E8" s="202">
        <v>25919.74223</v>
      </c>
      <c r="F8" s="202">
        <v>49433.614950000003</v>
      </c>
      <c r="G8" s="202">
        <v>54192.630980000002</v>
      </c>
      <c r="H8" s="202">
        <v>49503.174500000001</v>
      </c>
      <c r="I8" s="204">
        <v>791989.7463</v>
      </c>
      <c r="J8" s="165">
        <v>1012213.532</v>
      </c>
    </row>
    <row r="9" spans="1:10" ht="24.75" customHeight="1" x14ac:dyDescent="0.35">
      <c r="A9" s="157" t="s">
        <v>572</v>
      </c>
      <c r="B9" s="202">
        <v>1887.38113</v>
      </c>
      <c r="C9" s="202">
        <v>7926.1869820000002</v>
      </c>
      <c r="D9" s="202">
        <v>15428.332829999999</v>
      </c>
      <c r="E9" s="202">
        <v>26301.065579999999</v>
      </c>
      <c r="F9" s="202">
        <v>70421.982600000003</v>
      </c>
      <c r="G9" s="202">
        <v>122923.64509999999</v>
      </c>
      <c r="H9" s="202">
        <v>225056.6097</v>
      </c>
      <c r="I9" s="204">
        <v>2469565.6159999999</v>
      </c>
      <c r="J9" s="165">
        <v>2939510.82</v>
      </c>
    </row>
    <row r="10" spans="1:10" ht="24.75" customHeight="1" x14ac:dyDescent="0.35">
      <c r="A10" s="157" t="s">
        <v>449</v>
      </c>
      <c r="B10" s="202">
        <v>1184.8741809999999</v>
      </c>
      <c r="C10" s="202">
        <v>2239.0891409999999</v>
      </c>
      <c r="D10" s="202">
        <v>2109.5218960000002</v>
      </c>
      <c r="E10" s="202">
        <v>2456.616137</v>
      </c>
      <c r="F10" s="202">
        <v>7074.9364500000001</v>
      </c>
      <c r="G10" s="202">
        <v>20573.75143</v>
      </c>
      <c r="H10" s="202">
        <v>56938.84403</v>
      </c>
      <c r="I10" s="204">
        <v>185264.54829999999</v>
      </c>
      <c r="J10" s="165">
        <v>277842.18160000001</v>
      </c>
    </row>
    <row r="11" spans="1:10" ht="24.75" customHeight="1" x14ac:dyDescent="0.35">
      <c r="A11" s="157" t="s">
        <v>573</v>
      </c>
      <c r="B11" s="202">
        <v>532.28177219999998</v>
      </c>
      <c r="C11" s="202">
        <v>3550.514686</v>
      </c>
      <c r="D11" s="202">
        <v>4600.0102909999996</v>
      </c>
      <c r="E11" s="202">
        <v>4876.4195749999999</v>
      </c>
      <c r="F11" s="202">
        <v>12303.23423</v>
      </c>
      <c r="G11" s="202">
        <v>18495.4208</v>
      </c>
      <c r="H11" s="202">
        <v>29896.093529999998</v>
      </c>
      <c r="I11" s="204">
        <v>39392.49</v>
      </c>
      <c r="J11" s="165">
        <v>113646.46490000001</v>
      </c>
    </row>
    <row r="12" spans="1:10" ht="24.75" customHeight="1" x14ac:dyDescent="0.35">
      <c r="A12" s="157" t="s">
        <v>451</v>
      </c>
      <c r="B12" s="202">
        <v>78.75385</v>
      </c>
      <c r="C12" s="202">
        <v>472.1225</v>
      </c>
      <c r="D12" s="202">
        <v>1484.186725</v>
      </c>
      <c r="E12" s="202">
        <v>3394.1922249999998</v>
      </c>
      <c r="F12" s="202">
        <v>15608.056479999999</v>
      </c>
      <c r="G12" s="202">
        <v>35330.773979999998</v>
      </c>
      <c r="H12" s="202">
        <v>70599.085330000002</v>
      </c>
      <c r="I12" s="204">
        <v>129484.9987</v>
      </c>
      <c r="J12" s="165">
        <v>256452.1698</v>
      </c>
    </row>
    <row r="13" spans="1:10" ht="24.75" customHeight="1" x14ac:dyDescent="0.35">
      <c r="A13" s="157" t="s">
        <v>452</v>
      </c>
      <c r="B13" s="202" t="s">
        <v>406</v>
      </c>
      <c r="C13" s="202" t="s">
        <v>406</v>
      </c>
      <c r="D13" s="202">
        <v>42.36</v>
      </c>
      <c r="E13" s="202" t="s">
        <v>406</v>
      </c>
      <c r="F13" s="202">
        <v>794.08</v>
      </c>
      <c r="G13" s="202">
        <v>10693.07</v>
      </c>
      <c r="H13" s="202">
        <v>37377.120000000003</v>
      </c>
      <c r="I13" s="204">
        <v>58126.81</v>
      </c>
      <c r="J13" s="165">
        <v>107075.8722</v>
      </c>
    </row>
    <row r="14" spans="1:10" ht="24.75" customHeight="1" x14ac:dyDescent="0.35">
      <c r="A14" s="157" t="s">
        <v>574</v>
      </c>
      <c r="B14" s="202">
        <v>220.3694978</v>
      </c>
      <c r="C14" s="202">
        <v>359.90095109999999</v>
      </c>
      <c r="D14" s="202">
        <v>398.98956500000003</v>
      </c>
      <c r="E14" s="202">
        <v>378.60149389999998</v>
      </c>
      <c r="F14" s="202">
        <v>769.17322899999999</v>
      </c>
      <c r="G14" s="202">
        <v>1329.440775</v>
      </c>
      <c r="H14" s="202">
        <v>4199.59</v>
      </c>
      <c r="I14" s="204">
        <v>8113.2358949999998</v>
      </c>
      <c r="J14" s="165">
        <v>15769.30141</v>
      </c>
    </row>
    <row r="15" spans="1:10" ht="24.75" customHeight="1" x14ac:dyDescent="0.35">
      <c r="A15" s="157" t="s">
        <v>454</v>
      </c>
      <c r="B15" s="202">
        <v>79.716279060000005</v>
      </c>
      <c r="C15" s="202">
        <v>124.228025</v>
      </c>
      <c r="D15" s="202">
        <v>125.87587499999999</v>
      </c>
      <c r="E15" s="202" t="s">
        <v>406</v>
      </c>
      <c r="F15" s="202">
        <v>426.24099999999999</v>
      </c>
      <c r="G15" s="202">
        <v>983.63</v>
      </c>
      <c r="H15" s="202">
        <v>1421.44</v>
      </c>
      <c r="I15" s="204" t="s">
        <v>406</v>
      </c>
      <c r="J15" s="165">
        <v>6541.1123539999999</v>
      </c>
    </row>
    <row r="16" spans="1:10" ht="24.75" customHeight="1" x14ac:dyDescent="0.35">
      <c r="A16" s="157" t="s">
        <v>455</v>
      </c>
      <c r="B16" s="202">
        <v>114.8333732</v>
      </c>
      <c r="C16" s="202">
        <v>194.946675</v>
      </c>
      <c r="D16" s="202">
        <v>157.837625</v>
      </c>
      <c r="E16" s="202">
        <v>212.36019999999999</v>
      </c>
      <c r="F16" s="202">
        <v>319.33747499999998</v>
      </c>
      <c r="G16" s="202">
        <v>591.73</v>
      </c>
      <c r="H16" s="202">
        <v>1702.76</v>
      </c>
      <c r="I16" s="204">
        <v>6742.05</v>
      </c>
      <c r="J16" s="165">
        <v>10035.85535</v>
      </c>
    </row>
    <row r="17" spans="1:10" ht="24.75" customHeight="1" x14ac:dyDescent="0.35">
      <c r="A17" s="157" t="s">
        <v>456</v>
      </c>
      <c r="B17" s="202" t="s">
        <v>406</v>
      </c>
      <c r="C17" s="202" t="s">
        <v>406</v>
      </c>
      <c r="D17" s="202">
        <v>570.09047499999997</v>
      </c>
      <c r="E17" s="202">
        <v>401.40665000000001</v>
      </c>
      <c r="F17" s="202">
        <v>693.01234999999997</v>
      </c>
      <c r="G17" s="202" t="s">
        <v>406</v>
      </c>
      <c r="H17" s="202" t="s">
        <v>406</v>
      </c>
      <c r="I17" s="204" t="s">
        <v>406</v>
      </c>
      <c r="J17" s="165">
        <v>6000.1229249999997</v>
      </c>
    </row>
    <row r="18" spans="1:10" ht="24.75" customHeight="1" thickBot="1" x14ac:dyDescent="0.45">
      <c r="A18" s="158" t="s">
        <v>457</v>
      </c>
      <c r="B18" s="205">
        <v>9120.4850910000005</v>
      </c>
      <c r="C18" s="205">
        <v>30471.14172</v>
      </c>
      <c r="D18" s="205">
        <v>47144.959069999997</v>
      </c>
      <c r="E18" s="205">
        <v>64953.075859999997</v>
      </c>
      <c r="F18" s="205">
        <v>165072.2746</v>
      </c>
      <c r="G18" s="205">
        <v>294322.2831</v>
      </c>
      <c r="H18" s="205">
        <v>541803.86800000002</v>
      </c>
      <c r="I18" s="206">
        <v>3871414.219</v>
      </c>
      <c r="J18" s="166">
        <v>5024302.3059999999</v>
      </c>
    </row>
  </sheetData>
  <hyperlinks>
    <hyperlink ref="A4" location="Notes!A1" display="Link to Notes table" xr:uid="{224673A0-1EE9-448C-8045-6EBD2E4CED2F}"/>
    <hyperlink ref="A5" r:id="rId1" xr:uid="{112F967E-333E-4E5D-AB3B-373F9D1D491D}"/>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E71F-2B48-48A3-8D3B-76A05375230F}">
  <dimension ref="A1:D13"/>
  <sheetViews>
    <sheetView showGridLines="0" workbookViewId="0"/>
  </sheetViews>
  <sheetFormatPr defaultColWidth="9" defaultRowHeight="15" x14ac:dyDescent="0.35"/>
  <cols>
    <col min="1" max="1" width="50.75" customWidth="1"/>
    <col min="2" max="2" width="15.5625" customWidth="1"/>
  </cols>
  <sheetData>
    <row r="1" spans="1:4" ht="20.149999999999999" x14ac:dyDescent="0.5">
      <c r="A1" s="167" t="s">
        <v>596</v>
      </c>
      <c r="B1" s="167"/>
      <c r="C1" s="167"/>
      <c r="D1" s="167"/>
    </row>
    <row r="2" spans="1:4" x14ac:dyDescent="0.35">
      <c r="A2" t="s">
        <v>34</v>
      </c>
      <c r="C2" t="s">
        <v>576</v>
      </c>
      <c r="D2" t="s">
        <v>576</v>
      </c>
    </row>
    <row r="3" spans="1:4" x14ac:dyDescent="0.35">
      <c r="A3" t="s">
        <v>160</v>
      </c>
    </row>
    <row r="4" spans="1:4" x14ac:dyDescent="0.35">
      <c r="A4" s="156" t="s">
        <v>570</v>
      </c>
      <c r="B4" t="s">
        <v>576</v>
      </c>
      <c r="C4" t="s">
        <v>576</v>
      </c>
      <c r="D4" t="s">
        <v>576</v>
      </c>
    </row>
    <row r="5" spans="1:4" ht="15.45" thickBot="1" x14ac:dyDescent="0.4">
      <c r="A5" s="156" t="s">
        <v>161</v>
      </c>
      <c r="B5" t="s">
        <v>576</v>
      </c>
      <c r="C5" t="s">
        <v>576</v>
      </c>
      <c r="D5" t="s">
        <v>576</v>
      </c>
    </row>
    <row r="6" spans="1:4" ht="31.5" customHeight="1" thickBot="1" x14ac:dyDescent="0.45">
      <c r="A6" s="161" t="s">
        <v>597</v>
      </c>
      <c r="B6" s="172" t="s">
        <v>385</v>
      </c>
      <c r="C6" t="s">
        <v>576</v>
      </c>
      <c r="D6" t="s">
        <v>576</v>
      </c>
    </row>
    <row r="7" spans="1:4" ht="24.75" customHeight="1" x14ac:dyDescent="0.35">
      <c r="A7" s="157" t="s">
        <v>598</v>
      </c>
      <c r="B7" s="165">
        <v>18256</v>
      </c>
      <c r="C7" t="s">
        <v>576</v>
      </c>
      <c r="D7" t="s">
        <v>576</v>
      </c>
    </row>
    <row r="8" spans="1:4" ht="24.75" customHeight="1" x14ac:dyDescent="0.35">
      <c r="A8" s="157" t="s">
        <v>599</v>
      </c>
      <c r="B8" s="165">
        <v>26876</v>
      </c>
      <c r="C8" t="s">
        <v>576</v>
      </c>
      <c r="D8" t="s">
        <v>576</v>
      </c>
    </row>
    <row r="9" spans="1:4" ht="24.75" customHeight="1" x14ac:dyDescent="0.35">
      <c r="A9" s="157" t="s">
        <v>600</v>
      </c>
      <c r="B9" s="173">
        <v>271</v>
      </c>
      <c r="C9" t="s">
        <v>576</v>
      </c>
      <c r="D9" t="s">
        <v>576</v>
      </c>
    </row>
    <row r="10" spans="1:4" ht="24.75" customHeight="1" thickBot="1" x14ac:dyDescent="0.45">
      <c r="A10" s="158" t="s">
        <v>418</v>
      </c>
      <c r="B10" s="166">
        <v>45403</v>
      </c>
      <c r="C10" t="s">
        <v>576</v>
      </c>
      <c r="D10" t="s">
        <v>576</v>
      </c>
    </row>
    <row r="11" spans="1:4" x14ac:dyDescent="0.35">
      <c r="A11" t="s">
        <v>576</v>
      </c>
      <c r="B11" t="s">
        <v>576</v>
      </c>
      <c r="C11" t="s">
        <v>576</v>
      </c>
      <c r="D11" t="s">
        <v>576</v>
      </c>
    </row>
    <row r="12" spans="1:4" x14ac:dyDescent="0.35">
      <c r="A12" t="s">
        <v>576</v>
      </c>
      <c r="B12" t="s">
        <v>576</v>
      </c>
      <c r="C12" t="s">
        <v>576</v>
      </c>
      <c r="D12" t="s">
        <v>576</v>
      </c>
    </row>
    <row r="13" spans="1:4" x14ac:dyDescent="0.35">
      <c r="A13" t="s">
        <v>576</v>
      </c>
      <c r="B13" t="s">
        <v>576</v>
      </c>
      <c r="C13" t="s">
        <v>576</v>
      </c>
      <c r="D13" t="s">
        <v>576</v>
      </c>
    </row>
  </sheetData>
  <hyperlinks>
    <hyperlink ref="A4" location="Notes!A1" display="Link to Notes table" xr:uid="{41CA9FCF-8F47-4679-903E-1963C383DE72}"/>
    <hyperlink ref="A5" r:id="rId1" xr:uid="{DCA42088-B8ED-4F40-B4A9-0FBF992C910B}"/>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ED27B-939E-45DF-AA72-5DEB7BF29FD4}">
  <dimension ref="A1:B14"/>
  <sheetViews>
    <sheetView showGridLines="0" workbookViewId="0"/>
  </sheetViews>
  <sheetFormatPr defaultColWidth="9" defaultRowHeight="15" x14ac:dyDescent="0.35"/>
  <cols>
    <col min="1" max="1" width="50.75" customWidth="1"/>
    <col min="2" max="2" width="15.5625" customWidth="1"/>
  </cols>
  <sheetData>
    <row r="1" spans="1:2" ht="20.149999999999999" x14ac:dyDescent="0.5">
      <c r="A1" s="106" t="s">
        <v>601</v>
      </c>
      <c r="B1" s="106"/>
    </row>
    <row r="2" spans="1:2" x14ac:dyDescent="0.35">
      <c r="A2" t="s">
        <v>34</v>
      </c>
    </row>
    <row r="3" spans="1:2" x14ac:dyDescent="0.35">
      <c r="A3" t="s">
        <v>160</v>
      </c>
    </row>
    <row r="4" spans="1:2" x14ac:dyDescent="0.35">
      <c r="A4" s="103" t="s">
        <v>570</v>
      </c>
      <c r="B4" t="s">
        <v>576</v>
      </c>
    </row>
    <row r="5" spans="1:2" ht="15.45" thickBot="1" x14ac:dyDescent="0.4">
      <c r="A5" s="103" t="s">
        <v>161</v>
      </c>
      <c r="B5" t="s">
        <v>576</v>
      </c>
    </row>
    <row r="6" spans="1:2" ht="31.3" thickBot="1" x14ac:dyDescent="0.45">
      <c r="A6" s="174" t="s">
        <v>602</v>
      </c>
      <c r="B6" s="175" t="s">
        <v>603</v>
      </c>
    </row>
    <row r="7" spans="1:2" ht="24.75" customHeight="1" x14ac:dyDescent="0.35">
      <c r="A7" s="176" t="s">
        <v>604</v>
      </c>
      <c r="B7" s="177">
        <v>137</v>
      </c>
    </row>
    <row r="8" spans="1:2" ht="24.75" customHeight="1" x14ac:dyDescent="0.35">
      <c r="A8" s="176" t="s">
        <v>605</v>
      </c>
      <c r="B8" s="177">
        <v>332</v>
      </c>
    </row>
    <row r="9" spans="1:2" ht="24.75" customHeight="1" x14ac:dyDescent="0.35">
      <c r="A9" s="176" t="s">
        <v>606</v>
      </c>
      <c r="B9" s="177">
        <v>280</v>
      </c>
    </row>
    <row r="10" spans="1:2" ht="24.75" customHeight="1" x14ac:dyDescent="0.35">
      <c r="A10" s="176" t="s">
        <v>607</v>
      </c>
      <c r="B10" s="177">
        <v>68</v>
      </c>
    </row>
    <row r="11" spans="1:2" ht="24.75" customHeight="1" x14ac:dyDescent="0.35">
      <c r="A11" s="176" t="s">
        <v>608</v>
      </c>
      <c r="B11" s="177">
        <v>48</v>
      </c>
    </row>
    <row r="12" spans="1:2" ht="24.75" customHeight="1" x14ac:dyDescent="0.35">
      <c r="A12" s="176" t="s">
        <v>305</v>
      </c>
      <c r="B12" s="177">
        <v>86</v>
      </c>
    </row>
    <row r="13" spans="1:2" ht="24.75" customHeight="1" x14ac:dyDescent="0.4">
      <c r="A13" s="178" t="s">
        <v>609</v>
      </c>
      <c r="B13" s="179">
        <v>838</v>
      </c>
    </row>
    <row r="14" spans="1:2" ht="24.75" customHeight="1" thickBot="1" x14ac:dyDescent="0.45">
      <c r="A14" s="180" t="s">
        <v>610</v>
      </c>
      <c r="B14" s="181">
        <v>951</v>
      </c>
    </row>
  </sheetData>
  <hyperlinks>
    <hyperlink ref="A4" location="Notes!A1" display="Link to Notes table" xr:uid="{31D46B68-08B5-40F9-8042-4BEC9B72DDF0}"/>
    <hyperlink ref="A5" r:id="rId1" xr:uid="{C81DB4B0-1786-4410-ACD7-E484883384CA}"/>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3C3FB-BA4D-44BB-AE10-8FF613665339}">
  <dimension ref="A1:B14"/>
  <sheetViews>
    <sheetView showGridLines="0" workbookViewId="0"/>
  </sheetViews>
  <sheetFormatPr defaultColWidth="9" defaultRowHeight="15" x14ac:dyDescent="0.35"/>
  <cols>
    <col min="1" max="1" width="77.6875" customWidth="1"/>
    <col min="2" max="2" width="15.5625" customWidth="1"/>
  </cols>
  <sheetData>
    <row r="1" spans="1:2" ht="20.149999999999999" x14ac:dyDescent="0.5">
      <c r="A1" s="106" t="s">
        <v>611</v>
      </c>
      <c r="B1" s="106"/>
    </row>
    <row r="2" spans="1:2" x14ac:dyDescent="0.35">
      <c r="A2" t="s">
        <v>34</v>
      </c>
      <c r="B2" t="s">
        <v>576</v>
      </c>
    </row>
    <row r="3" spans="1:2" x14ac:dyDescent="0.35">
      <c r="A3" t="s">
        <v>160</v>
      </c>
      <c r="B3" t="s">
        <v>576</v>
      </c>
    </row>
    <row r="4" spans="1:2" x14ac:dyDescent="0.35">
      <c r="A4" s="182" t="s">
        <v>570</v>
      </c>
      <c r="B4" t="s">
        <v>576</v>
      </c>
    </row>
    <row r="5" spans="1:2" ht="15.45" thickBot="1" x14ac:dyDescent="0.4">
      <c r="A5" s="182" t="s">
        <v>161</v>
      </c>
      <c r="B5" t="s">
        <v>576</v>
      </c>
    </row>
    <row r="6" spans="1:2" ht="31.3" thickBot="1" x14ac:dyDescent="0.45">
      <c r="A6" s="161" t="s">
        <v>612</v>
      </c>
      <c r="B6" s="175" t="s">
        <v>603</v>
      </c>
    </row>
    <row r="7" spans="1:2" ht="24.75" customHeight="1" x14ac:dyDescent="0.35">
      <c r="A7" s="11" t="s">
        <v>613</v>
      </c>
      <c r="B7" s="183">
        <v>259</v>
      </c>
    </row>
    <row r="8" spans="1:2" ht="24.75" customHeight="1" x14ac:dyDescent="0.35">
      <c r="A8" s="11" t="s">
        <v>614</v>
      </c>
      <c r="B8" s="183">
        <v>611</v>
      </c>
    </row>
    <row r="9" spans="1:2" ht="24.75" customHeight="1" x14ac:dyDescent="0.35">
      <c r="A9" s="11" t="s">
        <v>615</v>
      </c>
      <c r="B9" s="183">
        <v>913</v>
      </c>
    </row>
    <row r="10" spans="1:2" ht="24.75" customHeight="1" x14ac:dyDescent="0.35">
      <c r="A10" s="11" t="s">
        <v>616</v>
      </c>
      <c r="B10" s="183">
        <v>233</v>
      </c>
    </row>
    <row r="11" spans="1:2" ht="25" customHeight="1" x14ac:dyDescent="0.4">
      <c r="A11" s="58" t="s">
        <v>609</v>
      </c>
      <c r="B11" s="179">
        <v>1433</v>
      </c>
    </row>
    <row r="12" spans="1:2" ht="25" customHeight="1" thickBot="1" x14ac:dyDescent="0.45">
      <c r="A12" s="184" t="s">
        <v>610</v>
      </c>
      <c r="B12" s="181">
        <v>2016</v>
      </c>
    </row>
    <row r="13" spans="1:2" x14ac:dyDescent="0.35">
      <c r="A13" t="s">
        <v>576</v>
      </c>
      <c r="B13" t="s">
        <v>576</v>
      </c>
    </row>
    <row r="14" spans="1:2" x14ac:dyDescent="0.35">
      <c r="A14" t="s">
        <v>576</v>
      </c>
      <c r="B14" t="s">
        <v>576</v>
      </c>
    </row>
  </sheetData>
  <hyperlinks>
    <hyperlink ref="A4" location="Notes!A1" display="Link to Notes table" xr:uid="{F1297CF7-BA1E-4824-A125-1FC6F23564B9}"/>
    <hyperlink ref="A5" r:id="rId1" xr:uid="{0828B9DB-48D4-4B90-9549-F678D5A104B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8102e75-8a10-4cfc-9a6f-28ca16804fdc">
      <Terms xmlns="http://schemas.microsoft.com/office/infopath/2007/PartnerControls"/>
    </lcf76f155ced4ddcb4097134ff3c332f>
    <TaxCatchAll xmlns="a13e2855-205b-47c1-af91-45affc400dc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7D80279D86B849A3EDF74675CEC2D1" ma:contentTypeVersion="15" ma:contentTypeDescription="Create a new document." ma:contentTypeScope="" ma:versionID="b95543c3746a54e7a3470a03dfa34c45">
  <xsd:schema xmlns:xsd="http://www.w3.org/2001/XMLSchema" xmlns:xs="http://www.w3.org/2001/XMLSchema" xmlns:p="http://schemas.microsoft.com/office/2006/metadata/properties" xmlns:ns2="88102e75-8a10-4cfc-9a6f-28ca16804fdc" xmlns:ns3="a13e2855-205b-47c1-af91-45affc400dcd" targetNamespace="http://schemas.microsoft.com/office/2006/metadata/properties" ma:root="true" ma:fieldsID="b7d621128cbf27d4c9119d1d72c3df99" ns2:_="" ns3:_="">
    <xsd:import namespace="88102e75-8a10-4cfc-9a6f-28ca16804fdc"/>
    <xsd:import namespace="a13e2855-205b-47c1-af91-45affc400dc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102e75-8a10-4cfc-9a6f-28ca16804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94d5e3d-88e3-4c55-b684-1c81dd55b71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3e2855-205b-47c1-af91-45affc400dc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33b2b62e-d9cd-47dc-ac3b-d87dfafcb05f}" ma:internalName="TaxCatchAll" ma:showField="CatchAllData" ma:web="a13e2855-205b-47c1-af91-45affc400d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3B277F-FD29-4A8F-B034-A3F9CA6D0187}">
  <ds:schemaRefs>
    <ds:schemaRef ds:uri="http://schemas.microsoft.com/office/2006/documentManagement/types"/>
    <ds:schemaRef ds:uri="http://schemas.openxmlformats.org/package/2006/metadata/core-properties"/>
    <ds:schemaRef ds:uri="http://purl.org/dc/dcmitype/"/>
    <ds:schemaRef ds:uri="http://purl.org/dc/elements/1.1/"/>
    <ds:schemaRef ds:uri="a13e2855-205b-47c1-af91-45affc400dcd"/>
    <ds:schemaRef ds:uri="88102e75-8a10-4cfc-9a6f-28ca16804fdc"/>
    <ds:schemaRef ds:uri="http://www.w3.org/XML/1998/namespace"/>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EF66181B-55AD-48D4-BEE5-2628F1E42B66}">
  <ds:schemaRefs>
    <ds:schemaRef ds:uri="http://schemas.microsoft.com/sharepoint/v3/contenttype/forms"/>
  </ds:schemaRefs>
</ds:datastoreItem>
</file>

<file path=customXml/itemProps3.xml><?xml version="1.0" encoding="utf-8"?>
<ds:datastoreItem xmlns:ds="http://schemas.openxmlformats.org/officeDocument/2006/customXml" ds:itemID="{1D1272BF-6905-442E-9579-6FE3435072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102e75-8a10-4cfc-9a6f-28ca16804fdc"/>
    <ds:schemaRef ds:uri="a13e2855-205b-47c1-af91-45affc400d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Cover</vt:lpstr>
      <vt:lpstr>Contents</vt:lpstr>
      <vt:lpstr>Notes</vt:lpstr>
      <vt:lpstr>Table_1</vt:lpstr>
      <vt:lpstr>Table_2</vt:lpstr>
      <vt:lpstr>Table_3</vt:lpstr>
      <vt:lpstr>Table_4</vt:lpstr>
      <vt:lpstr>Table_5</vt:lpstr>
      <vt:lpstr>Table_6</vt:lpstr>
      <vt:lpstr>Table_7</vt:lpstr>
      <vt:lpstr>Table_8</vt:lpstr>
      <vt:lpstr>Table_9</vt:lpstr>
      <vt:lpstr>Table_10</vt:lpstr>
      <vt:lpstr>Table_11</vt:lpstr>
      <vt:lpstr>Table_12</vt:lpstr>
      <vt:lpstr>Table_13</vt:lpstr>
      <vt:lpstr>Table_14</vt:lpstr>
      <vt:lpstr>Table_15</vt:lpstr>
      <vt:lpstr>Table_16</vt:lpstr>
      <vt:lpstr>Table_17</vt:lpstr>
      <vt:lpstr>Table_18</vt:lpstr>
      <vt:lpstr>Table_19</vt:lpstr>
      <vt:lpstr>Table_20</vt:lpstr>
      <vt:lpstr>Table_21</vt:lpstr>
      <vt:lpstr>Table_22</vt:lpstr>
      <vt:lpstr>Table_23</vt:lpstr>
      <vt:lpstr>Table_24</vt:lpstr>
      <vt:lpstr>Table_25</vt:lpstr>
      <vt:lpstr>Module_2025_Table_1</vt:lpstr>
      <vt:lpstr>Module_2025_Table_2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u451653</dc:creator>
  <cp:keywords/>
  <dc:description/>
  <cp:lastModifiedBy>Euan Wakefield</cp:lastModifiedBy>
  <cp:revision/>
  <dcterms:created xsi:type="dcterms:W3CDTF">2025-10-28T11:49:52Z</dcterms:created>
  <dcterms:modified xsi:type="dcterms:W3CDTF">2025-10-30T11:48:04Z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0x0101001A7D80279D86B849A3EDF74675CEC2D1</vt:lpwstr>
  </property>
  <property fmtid="{D5CDD505-2E9C-101B-9397-08002B2CF9AE}" pid="3" name="MediaServiceImageTags">
    <vt:lpwstr/>
  </property>
</Properties>
</file>